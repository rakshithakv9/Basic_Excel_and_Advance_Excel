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E79F9C99-40D1-4558-AFD2-1EEF94114D69}" xr6:coauthVersionLast="47" xr6:coauthVersionMax="47" xr10:uidLastSave="{00000000-0000-0000-0000-000000000000}"/>
  <bookViews>
    <workbookView xWindow="-110" yWindow="-110" windowWidth="19420" windowHeight="10300" xr2:uid="{D7A2B371-3D61-43E2-B2C4-37E049DBF39E}"/>
  </bookViews>
  <sheets>
    <sheet name="Sheet1" sheetId="1" r:id="rId1"/>
    <sheet name="Sheet2" sheetId="2" r:id="rId2"/>
  </sheets>
  <definedNames>
    <definedName name="solver_adj" localSheetId="0" hidden="1">Sheet1!$F$50:$F$51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itr" localSheetId="0" hidden="1">2147483647</definedName>
    <definedName name="solver_lhs1" localSheetId="0" hidden="1">Sheet1!$G$50:$G$51</definedName>
    <definedName name="solver_lhs2" localSheetId="0" hidden="1">Sheet1!$H$50:$H$51</definedName>
    <definedName name="solver_lhs3" localSheetId="0" hidden="1">Sheet1!$I$50:$I$51</definedName>
    <definedName name="solver_lhs4" localSheetId="0" hidden="1">Sheet1!$I$50:$I$51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3</definedName>
    <definedName name="solver_num" localSheetId="1" hidden="1">0</definedName>
    <definedName name="solver_nwt" localSheetId="0" hidden="1">1</definedName>
    <definedName name="solver_opt" localSheetId="0" hidden="1">Sheet1!$H$55</definedName>
    <definedName name="solver_opt" localSheetId="1" hidden="1">Sheet2!$J$19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hs1" localSheetId="0" hidden="1">10000</definedName>
    <definedName name="solver_rhs2" localSheetId="0" hidden="1">4000</definedName>
    <definedName name="solver_rhs3" localSheetId="0" hidden="1">2500</definedName>
    <definedName name="solver_rhs4" localSheetId="0" hidden="1">2500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I51" i="1"/>
  <c r="I50" i="1"/>
  <c r="H50" i="1"/>
  <c r="H51" i="1"/>
  <c r="G51" i="1"/>
  <c r="G50" i="1"/>
  <c r="C31" i="1"/>
  <c r="B38" i="1"/>
  <c r="C38" i="1" s="1"/>
  <c r="B37" i="1"/>
  <c r="C37" i="1" s="1"/>
  <c r="H55" i="1" l="1"/>
  <c r="D31" i="1"/>
  <c r="D32" i="1"/>
  <c r="E32" i="1"/>
  <c r="C32" i="1"/>
  <c r="E31" i="1"/>
  <c r="C39" i="1"/>
  <c r="D33" i="1" l="1"/>
  <c r="C33" i="1"/>
  <c r="E33" i="1"/>
</calcChain>
</file>

<file path=xl/sharedStrings.xml><?xml version="1.0" encoding="utf-8"?>
<sst xmlns="http://schemas.openxmlformats.org/spreadsheetml/2006/main" count="97" uniqueCount="84">
  <si>
    <t>Car model</t>
  </si>
  <si>
    <t>Assembly(all parts)</t>
  </si>
  <si>
    <t>Frame fitting and painting</t>
  </si>
  <si>
    <t>Activity time in hrs</t>
  </si>
  <si>
    <t>kerc 501</t>
  </si>
  <si>
    <t>kerc601</t>
  </si>
  <si>
    <t>Limited resources of company:</t>
  </si>
  <si>
    <t>Manufacturing activity</t>
  </si>
  <si>
    <t>Frame fitting&amp;painting</t>
  </si>
  <si>
    <t>Quality Assurance</t>
  </si>
  <si>
    <t>Total available time per week</t>
  </si>
  <si>
    <t>Car model profit:</t>
  </si>
  <si>
    <t>kerc501</t>
  </si>
  <si>
    <t>Maximising profit</t>
  </si>
  <si>
    <t>Car quantities</t>
  </si>
  <si>
    <t>Constraints:</t>
  </si>
  <si>
    <t>Solution:</t>
  </si>
  <si>
    <t>Quantity</t>
  </si>
  <si>
    <t>Total</t>
  </si>
  <si>
    <t>Profit table:</t>
  </si>
  <si>
    <t>Production quantity</t>
  </si>
  <si>
    <t>car model</t>
  </si>
  <si>
    <t>Quality&amp;assurance</t>
  </si>
  <si>
    <t>kerc 601</t>
  </si>
  <si>
    <t>profit(USD dollars)</t>
  </si>
  <si>
    <t xml:space="preserve">Objective: </t>
  </si>
  <si>
    <t xml:space="preserve">Decision variables: </t>
  </si>
  <si>
    <t>Limited resources of company or total available time per weeek</t>
  </si>
  <si>
    <t>Objective</t>
  </si>
  <si>
    <t>Changing variables</t>
  </si>
  <si>
    <t>Constraints</t>
  </si>
  <si>
    <t>Quality assurance</t>
  </si>
  <si>
    <t xml:space="preserve">With the given limited resources we can able to produce </t>
  </si>
  <si>
    <t>So the optimum production quantity of car kerc501 is  and kerc 601 is.</t>
  </si>
  <si>
    <t>problem statement:</t>
  </si>
  <si>
    <t>As per the policy,on saturdays , employees should be given only 20 parcels as target.</t>
  </si>
  <si>
    <t>Find out how much quantity each employess has to deliver from Monday-Friday , so that company can achieve its target.</t>
  </si>
  <si>
    <t>Given:</t>
  </si>
  <si>
    <t>company has 10 employees</t>
  </si>
  <si>
    <t>company has to deliver 2000 parcels</t>
  </si>
  <si>
    <t>Employees should be given only 20 parcels on saturdays</t>
  </si>
  <si>
    <t>Objective:</t>
  </si>
  <si>
    <t>Company has to deliver 2000 parcels per week</t>
  </si>
  <si>
    <t>Decision variables:</t>
  </si>
  <si>
    <t>Total parcel delivered by each employee from mon to Saturday</t>
  </si>
  <si>
    <t>Constraint:</t>
  </si>
  <si>
    <t>20 parcel given on saturdays</t>
  </si>
  <si>
    <t>MON</t>
  </si>
  <si>
    <t>TUE</t>
  </si>
  <si>
    <t>WED</t>
  </si>
  <si>
    <t>THU</t>
  </si>
  <si>
    <t>FRI</t>
  </si>
  <si>
    <t>SAT</t>
  </si>
  <si>
    <t>TOTAL PARCELS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</si>
  <si>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</si>
  <si>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</si>
  <si>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</si>
  <si>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</si>
  <si>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</si>
  <si>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</si>
  <si>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</si>
  <si>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</si>
  <si>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</si>
  <si>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</si>
  <si>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Total delivery in a week</t>
  </si>
  <si>
    <t>Problem statement: Find the optimal manufacturing quantities for car models to maximize the profit</t>
  </si>
  <si>
    <t>2) Find the optimal manufacturing quantities in order to achieve a profit of 5000</t>
  </si>
  <si>
    <t>e the profit of 5000</t>
  </si>
  <si>
    <t>Assembly</t>
  </si>
  <si>
    <t>Framefitting</t>
  </si>
  <si>
    <t xml:space="preserve">Quality assurance </t>
  </si>
  <si>
    <t>1)A parcel service company targets to deliver 2000 parcels in a week.It has to assign the target quantity to 10 employees to deliver that week.</t>
  </si>
  <si>
    <t>2) How many parcels has to be assigned to each employee to eliver a target of 5000 parcels from mon to Friday?</t>
  </si>
  <si>
    <t>Employees will be 10</t>
  </si>
  <si>
    <t>3)How many parcels has to be delivered by each employee in order to reach a target of 5000 and employees are assigned 10 parcels on Saturday and 5 parcels on Sunday</t>
  </si>
  <si>
    <t>Min. Hours</t>
  </si>
  <si>
    <t>KERC501</t>
  </si>
  <si>
    <t>KERC601</t>
  </si>
  <si>
    <t>QUANTITY</t>
  </si>
  <si>
    <t>ASSEMBLY</t>
  </si>
  <si>
    <t>FREMEFITTING</t>
  </si>
  <si>
    <t>PROFIT</t>
  </si>
  <si>
    <t>TOTAL PROFIT</t>
  </si>
  <si>
    <t>QUANTITY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</si>
</sst>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803A-7A5F-48A2-827B-6F8D94C17C67}">
  <dimension ref="A1:J55"/>
  <sheetViews>
    <sheetView tabSelected="1" topLeftCell="A23" zoomScale="70" zoomScaleNormal="70" workbookViewId="0">
      <selection activeCell="J52" sqref="J52"/>
    </sheetView>
  </sheetViews>
  <sheetFormatPr defaultRowHeight="14.5" x14ac:dyDescent="0.35"/>
  <cols>
    <col min="1" max="1" width="14.453125" customWidth="1"/>
    <col min="2" max="2" width="18.453125" customWidth="1"/>
    <col min="3" max="3" width="27.7265625" bestFit="1" customWidth="1"/>
    <col min="4" max="4" width="21.1796875" customWidth="1"/>
    <col min="5" max="5" width="21.7265625" customWidth="1"/>
    <col min="10" max="10" width="10.81640625" bestFit="1" customWidth="1"/>
  </cols>
  <sheetData>
    <row r="1" spans="1:4" ht="18.5" x14ac:dyDescent="0.45">
      <c r="A1" s="8" t="s">
        <v>65</v>
      </c>
    </row>
    <row r="4" spans="1:4" x14ac:dyDescent="0.35">
      <c r="C4" s="1" t="s">
        <v>3</v>
      </c>
    </row>
    <row r="5" spans="1:4" x14ac:dyDescent="0.35">
      <c r="A5" s="2" t="s">
        <v>21</v>
      </c>
      <c r="B5" s="2" t="s">
        <v>1</v>
      </c>
      <c r="C5" s="2" t="s">
        <v>2</v>
      </c>
      <c r="D5" s="2" t="s">
        <v>22</v>
      </c>
    </row>
    <row r="6" spans="1:4" x14ac:dyDescent="0.35">
      <c r="A6" t="s">
        <v>4</v>
      </c>
      <c r="B6">
        <v>8</v>
      </c>
      <c r="C6">
        <v>4</v>
      </c>
      <c r="D6">
        <v>2</v>
      </c>
    </row>
    <row r="7" spans="1:4" x14ac:dyDescent="0.35">
      <c r="A7" t="s">
        <v>23</v>
      </c>
      <c r="B7">
        <v>10</v>
      </c>
      <c r="C7">
        <v>3</v>
      </c>
      <c r="D7">
        <v>1.6</v>
      </c>
    </row>
    <row r="10" spans="1:4" x14ac:dyDescent="0.35">
      <c r="A10" s="1" t="s">
        <v>6</v>
      </c>
      <c r="B10" s="1"/>
    </row>
    <row r="11" spans="1:4" x14ac:dyDescent="0.35">
      <c r="A11" s="2" t="s">
        <v>7</v>
      </c>
      <c r="B11" s="2"/>
      <c r="C11" s="2" t="s">
        <v>10</v>
      </c>
    </row>
    <row r="12" spans="1:4" x14ac:dyDescent="0.35">
      <c r="A12" t="s">
        <v>1</v>
      </c>
      <c r="C12" s="3">
        <v>10800</v>
      </c>
    </row>
    <row r="13" spans="1:4" x14ac:dyDescent="0.35">
      <c r="A13" t="s">
        <v>8</v>
      </c>
      <c r="C13" s="3">
        <v>4500</v>
      </c>
    </row>
    <row r="14" spans="1:4" x14ac:dyDescent="0.35">
      <c r="A14" t="s">
        <v>9</v>
      </c>
      <c r="C14" s="3">
        <v>2500</v>
      </c>
    </row>
    <row r="16" spans="1:4" x14ac:dyDescent="0.35">
      <c r="A16" s="1" t="s">
        <v>11</v>
      </c>
      <c r="B16" s="1"/>
    </row>
    <row r="17" spans="1:9" x14ac:dyDescent="0.35">
      <c r="A17" s="2" t="s">
        <v>0</v>
      </c>
      <c r="B17" s="2" t="s">
        <v>24</v>
      </c>
    </row>
    <row r="18" spans="1:9" x14ac:dyDescent="0.35">
      <c r="A18" t="s">
        <v>12</v>
      </c>
      <c r="B18">
        <v>4.9000000000000004</v>
      </c>
    </row>
    <row r="19" spans="1:9" x14ac:dyDescent="0.35">
      <c r="A19" t="s">
        <v>5</v>
      </c>
      <c r="B19">
        <v>5.8</v>
      </c>
    </row>
    <row r="22" spans="1:9" x14ac:dyDescent="0.35">
      <c r="A22" s="1" t="s">
        <v>25</v>
      </c>
      <c r="C22" t="s">
        <v>13</v>
      </c>
    </row>
    <row r="23" spans="1:9" x14ac:dyDescent="0.35">
      <c r="A23" s="1" t="s">
        <v>26</v>
      </c>
      <c r="B23" s="1"/>
      <c r="C23" t="s">
        <v>14</v>
      </c>
    </row>
    <row r="25" spans="1:9" x14ac:dyDescent="0.35">
      <c r="A25" s="1" t="s">
        <v>15</v>
      </c>
    </row>
    <row r="26" spans="1:9" x14ac:dyDescent="0.35">
      <c r="A26" t="s">
        <v>27</v>
      </c>
    </row>
    <row r="27" spans="1:9" x14ac:dyDescent="0.35">
      <c r="H27" s="4"/>
      <c r="I27" t="s">
        <v>28</v>
      </c>
    </row>
    <row r="28" spans="1:9" x14ac:dyDescent="0.35">
      <c r="A28" s="1" t="s">
        <v>16</v>
      </c>
      <c r="H28" s="5"/>
      <c r="I28" t="s">
        <v>29</v>
      </c>
    </row>
    <row r="29" spans="1:9" x14ac:dyDescent="0.35">
      <c r="H29" s="3"/>
      <c r="I29" t="s">
        <v>30</v>
      </c>
    </row>
    <row r="30" spans="1:9" x14ac:dyDescent="0.35">
      <c r="A30" s="2" t="s">
        <v>0</v>
      </c>
      <c r="B30" s="2" t="s">
        <v>17</v>
      </c>
      <c r="C30" s="2" t="s">
        <v>1</v>
      </c>
      <c r="D30" s="2" t="s">
        <v>8</v>
      </c>
      <c r="E30" s="2" t="s">
        <v>31</v>
      </c>
    </row>
    <row r="31" spans="1:9" x14ac:dyDescent="0.35">
      <c r="A31" t="s">
        <v>12</v>
      </c>
      <c r="B31" s="5">
        <v>787.5</v>
      </c>
      <c r="C31">
        <f>8*B31</f>
        <v>6300</v>
      </c>
      <c r="D31">
        <f>B31*C6</f>
        <v>3150</v>
      </c>
      <c r="E31">
        <f>B31*D6</f>
        <v>1575</v>
      </c>
    </row>
    <row r="32" spans="1:9" x14ac:dyDescent="0.35">
      <c r="A32" t="s">
        <v>5</v>
      </c>
      <c r="B32" s="5">
        <v>450</v>
      </c>
      <c r="C32">
        <f>B32*B7</f>
        <v>4500</v>
      </c>
      <c r="D32">
        <f>B32*C7</f>
        <v>1350</v>
      </c>
      <c r="E32">
        <f>B32*D7</f>
        <v>720</v>
      </c>
    </row>
    <row r="33" spans="1:5" x14ac:dyDescent="0.35">
      <c r="A33" s="2" t="s">
        <v>18</v>
      </c>
      <c r="C33" s="3">
        <f>SUM(C31:C32)</f>
        <v>10800</v>
      </c>
      <c r="D33" s="3">
        <f>SUM(D31:D32)</f>
        <v>4500</v>
      </c>
      <c r="E33" s="3">
        <f>SUM(E31:E32)</f>
        <v>2295</v>
      </c>
    </row>
    <row r="35" spans="1:5" x14ac:dyDescent="0.35">
      <c r="A35" s="6" t="s">
        <v>19</v>
      </c>
    </row>
    <row r="36" spans="1:5" x14ac:dyDescent="0.35">
      <c r="A36" s="2" t="s">
        <v>21</v>
      </c>
      <c r="B36" s="2" t="s">
        <v>20</v>
      </c>
      <c r="C36" s="2" t="s">
        <v>24</v>
      </c>
    </row>
    <row r="37" spans="1:5" x14ac:dyDescent="0.35">
      <c r="A37" t="s">
        <v>12</v>
      </c>
      <c r="B37">
        <f>B31</f>
        <v>787.5</v>
      </c>
      <c r="C37">
        <f>B37*B18</f>
        <v>3858.7500000000005</v>
      </c>
    </row>
    <row r="38" spans="1:5" x14ac:dyDescent="0.35">
      <c r="A38" t="s">
        <v>5</v>
      </c>
      <c r="B38">
        <f>B32</f>
        <v>450</v>
      </c>
      <c r="C38">
        <f>B38*B19</f>
        <v>2610</v>
      </c>
    </row>
    <row r="39" spans="1:5" x14ac:dyDescent="0.35">
      <c r="A39" s="2" t="s">
        <v>18</v>
      </c>
      <c r="C39" s="4">
        <f>SUM(C37:C38)</f>
        <v>6468.75</v>
      </c>
    </row>
    <row r="41" spans="1:5" x14ac:dyDescent="0.35">
      <c r="A41" s="2" t="s">
        <v>16</v>
      </c>
    </row>
    <row r="42" spans="1:5" x14ac:dyDescent="0.35">
      <c r="A42" t="s">
        <v>32</v>
      </c>
    </row>
    <row r="43" spans="1:5" x14ac:dyDescent="0.35">
      <c r="A43" t="s">
        <v>33</v>
      </c>
    </row>
    <row r="47" spans="1:5" x14ac:dyDescent="0.35">
      <c r="A47" t="s">
        <v>66</v>
      </c>
      <c r="D47" t="s">
        <v>67</v>
      </c>
    </row>
    <row r="49" spans="1:10" x14ac:dyDescent="0.35">
      <c r="A49" s="7" t="s">
        <v>15</v>
      </c>
      <c r="F49" t="s">
        <v>78</v>
      </c>
      <c r="G49" t="s">
        <v>79</v>
      </c>
      <c r="H49" t="s">
        <v>80</v>
      </c>
      <c r="I49" t="s">
        <v>83</v>
      </c>
      <c r="J49" t="s">
        <v>81</v>
      </c>
    </row>
    <row r="50" spans="1:10" x14ac:dyDescent="0.35">
      <c r="A50" s="7"/>
      <c r="C50" s="7" t="s">
        <v>75</v>
      </c>
      <c r="E50" t="s">
        <v>76</v>
      </c>
      <c r="F50">
        <v>1000</v>
      </c>
      <c r="G50">
        <f>F50*B6</f>
        <v>8000</v>
      </c>
      <c r="H50">
        <f>F50*C6</f>
        <v>4000</v>
      </c>
      <c r="I50">
        <f>F50*D6</f>
        <v>2000</v>
      </c>
      <c r="J50">
        <f>F50*B18</f>
        <v>4900</v>
      </c>
    </row>
    <row r="51" spans="1:10" x14ac:dyDescent="0.35">
      <c r="A51" t="s">
        <v>68</v>
      </c>
      <c r="C51">
        <v>10000</v>
      </c>
      <c r="E51" t="s">
        <v>77</v>
      </c>
      <c r="F51">
        <v>1000</v>
      </c>
      <c r="G51">
        <f>F51*B7</f>
        <v>10000</v>
      </c>
      <c r="H51">
        <f>F51*C7</f>
        <v>3000</v>
      </c>
      <c r="I51">
        <f>F51*D7</f>
        <v>1600</v>
      </c>
      <c r="J51">
        <f>F51*B19</f>
        <v>5800</v>
      </c>
    </row>
    <row r="52" spans="1:10" x14ac:dyDescent="0.35">
      <c r="A52" t="s">
        <v>69</v>
      </c>
      <c r="C52">
        <v>4000</v>
      </c>
    </row>
    <row r="53" spans="1:10" x14ac:dyDescent="0.35">
      <c r="A53" t="s">
        <v>70</v>
      </c>
      <c r="C53">
        <v>2500</v>
      </c>
    </row>
    <row r="54" spans="1:10" x14ac:dyDescent="0.35">
      <c r="H54" t="s">
        <v>82</v>
      </c>
    </row>
    <row r="55" spans="1:10" x14ac:dyDescent="0.35">
      <c r="H55">
        <f>SUM(J50:J51)</f>
        <v>10700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2CA8-9862-4722-A71A-158D2B49926E}">
  <dimension ref="A1:I35"/>
  <sheetViews>
    <sheetView zoomScale="68" workbookViewId="0">
      <selection activeCell="C16" sqref="C16"/>
    </sheetView>
  </sheetViews>
  <sheetFormatPr defaultRowHeight="14.5" x14ac:dyDescent="0.35"/>
  <sheetData>
    <row r="1" spans="1:9" x14ac:dyDescent="0.35">
      <c r="A1" s="1" t="s">
        <v>34</v>
      </c>
      <c r="B1" s="1"/>
    </row>
    <row r="2" spans="1:9" x14ac:dyDescent="0.35">
      <c r="A2" t="s">
        <v>71</v>
      </c>
    </row>
    <row r="3" spans="1:9" x14ac:dyDescent="0.35">
      <c r="A3" t="s">
        <v>35</v>
      </c>
    </row>
    <row r="4" spans="1:9" x14ac:dyDescent="0.35">
      <c r="A4" t="s">
        <v>36</v>
      </c>
    </row>
    <row r="6" spans="1:9" x14ac:dyDescent="0.35">
      <c r="A6" s="1" t="s">
        <v>37</v>
      </c>
    </row>
    <row r="7" spans="1:9" x14ac:dyDescent="0.35">
      <c r="A7" t="s">
        <v>38</v>
      </c>
    </row>
    <row r="8" spans="1:9" x14ac:dyDescent="0.35">
      <c r="A8" t="s">
        <v>39</v>
      </c>
    </row>
    <row r="9" spans="1:9" x14ac:dyDescent="0.35">
      <c r="A9" t="s">
        <v>40</v>
      </c>
    </row>
    <row r="11" spans="1:9" x14ac:dyDescent="0.35">
      <c r="A11" s="1" t="s">
        <v>41</v>
      </c>
      <c r="B11" s="1"/>
      <c r="C11" t="s">
        <v>42</v>
      </c>
    </row>
    <row r="12" spans="1:9" x14ac:dyDescent="0.35">
      <c r="A12" s="1" t="s">
        <v>43</v>
      </c>
      <c r="B12" s="1"/>
      <c r="C12" t="s">
        <v>44</v>
      </c>
    </row>
    <row r="13" spans="1:9" x14ac:dyDescent="0.35">
      <c r="A13" s="1" t="s">
        <v>45</v>
      </c>
      <c r="B13" s="1"/>
      <c r="C13" t="s">
        <v>46</v>
      </c>
    </row>
    <row r="15" spans="1:9" x14ac:dyDescent="0.35"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</row>
    <row r="16" spans="1:9" x14ac:dyDescent="0.35">
      <c r="B16" t="s">
        <v>54</v>
      </c>
    </row>
    <row r="17" spans="1:6" x14ac:dyDescent="0.35">
      <c r="B17" t="s">
        <v>55</v>
      </c>
    </row>
    <row r="18" spans="1:6" x14ac:dyDescent="0.35">
      <c r="B18" t="s">
        <v>56</v>
      </c>
    </row>
    <row r="19" spans="1:6" x14ac:dyDescent="0.35">
      <c r="B19" t="s">
        <v>57</v>
      </c>
    </row>
    <row r="20" spans="1:6" x14ac:dyDescent="0.35">
      <c r="B20" t="s">
        <v>58</v>
      </c>
    </row>
    <row r="21" spans="1:6" x14ac:dyDescent="0.35">
      <c r="B21" t="s">
        <v>59</v>
      </c>
    </row>
    <row r="22" spans="1:6" x14ac:dyDescent="0.35">
      <c r="B22" t="s">
        <v>60</v>
      </c>
    </row>
    <row r="23" spans="1:6" x14ac:dyDescent="0.35">
      <c r="B23" t="s">
        <v>61</v>
      </c>
    </row>
    <row r="24" spans="1:6" x14ac:dyDescent="0.35">
      <c r="B24" t="s">
        <v>62</v>
      </c>
    </row>
    <row r="25" spans="1:6" x14ac:dyDescent="0.35">
      <c r="B25" t="s">
        <v>63</v>
      </c>
    </row>
    <row r="27" spans="1:6" x14ac:dyDescent="0.35">
      <c r="F27" t="s">
        <v>64</v>
      </c>
    </row>
    <row r="32" spans="1:6" x14ac:dyDescent="0.35">
      <c r="A32" t="s">
        <v>72</v>
      </c>
    </row>
    <row r="33" spans="1:1" x14ac:dyDescent="0.35">
      <c r="A33" t="s">
        <v>73</v>
      </c>
    </row>
    <row r="35" spans="1:1" x14ac:dyDescent="0.35">
      <c r="A3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Rakshitha K V</cp:lastModifiedBy>
  <dcterms:created xsi:type="dcterms:W3CDTF">2023-07-13T04:02:40Z</dcterms:created>
  <dcterms:modified xsi:type="dcterms:W3CDTF">2026-03-07T17:21:29Z</dcterms:modified>
</cp:coreProperties>
</file>