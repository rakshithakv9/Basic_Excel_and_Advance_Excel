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47dcd7ee38a44368/Documents/YUKTA Excel/"/>
    </mc:Choice>
  </mc:AlternateContent>
  <xr:revisionPtr revIDLastSave="1" documentId="13_ncr:1_{7FE1FB36-2185-4038-AB18-F420E27ADFBD}" xr6:coauthVersionLast="47" xr6:coauthVersionMax="47" xr10:uidLastSave="{71AAAFCF-CD3B-40B7-A5F8-D772C975F7F3}"/>
  <bookViews>
    <workbookView xWindow="-110" yWindow="-110" windowWidth="19420" windowHeight="10300" firstSheet="4" activeTab="6" xr2:uid="{41AA5110-FD13-4B11-B7F0-2B727D8FA3ED}"/>
  </bookViews>
  <sheets>
    <sheet name="MAKE OR BUY MODEL -1" sheetId="1" r:id="rId1"/>
    <sheet name="MAKE OR BUY MODEL - 2" sheetId="2" r:id="rId2"/>
    <sheet name="MATHEMATICAL MODELLING-1" sheetId="3" r:id="rId3"/>
    <sheet name="MATHEMATICAL MODELLING -2" sheetId="4" r:id="rId4"/>
    <sheet name="BREAK EVEN  ANALYSIS - 1" sheetId="5" r:id="rId5"/>
    <sheet name="BREAK EVEN ANALYSIS-2" sheetId="6" r:id="rId6"/>
    <sheet name="Prescriptive analysis-1" sheetId="9" r:id="rId7"/>
    <sheet name="Prescriptive analysis-2" sheetId="8" r:id="rId8"/>
  </sheets>
  <definedNames>
    <definedName name="solver_adj" localSheetId="4" hidden="1">'BREAK EVEN  ANALYSIS - 1'!$M$12</definedName>
    <definedName name="solver_adj" localSheetId="5" hidden="1">'BREAK EVEN ANALYSIS-2'!$V$5</definedName>
    <definedName name="solver_adj" localSheetId="1" hidden="1">'MAKE OR BUY MODEL - 2'!$Q$11</definedName>
    <definedName name="solver_adj" localSheetId="0" hidden="1">'MAKE OR BUY MODEL -1'!$M$6</definedName>
    <definedName name="solver_adj" localSheetId="3" hidden="1">'MATHEMATICAL MODELLING -2'!$S$14:$S$15</definedName>
    <definedName name="solver_adj" localSheetId="2" hidden="1">'MATHEMATICAL MODELLING-1'!$P$14:$P$15</definedName>
    <definedName name="solver_adj" localSheetId="6" hidden="1">'Prescriptive analysis-1'!$Q$6</definedName>
    <definedName name="solver_cvg" localSheetId="4" hidden="1">0.0001</definedName>
    <definedName name="solver_cvg" localSheetId="5" hidden="1">0.0001</definedName>
    <definedName name="solver_cvg" localSheetId="1" hidden="1">0.0001</definedName>
    <definedName name="solver_cvg" localSheetId="0" hidden="1">0.0001</definedName>
    <definedName name="solver_cvg" localSheetId="3" hidden="1">0.0001</definedName>
    <definedName name="solver_cvg" localSheetId="2" hidden="1">0.0001</definedName>
    <definedName name="solver_cvg" localSheetId="6" hidden="1">0.0001</definedName>
    <definedName name="solver_drv" localSheetId="4" hidden="1">1</definedName>
    <definedName name="solver_drv" localSheetId="5" hidden="1">1</definedName>
    <definedName name="solver_drv" localSheetId="1" hidden="1">1</definedName>
    <definedName name="solver_drv" localSheetId="0" hidden="1">1</definedName>
    <definedName name="solver_drv" localSheetId="3" hidden="1">1</definedName>
    <definedName name="solver_drv" localSheetId="2" hidden="1">1</definedName>
    <definedName name="solver_drv" localSheetId="6" hidden="1">1</definedName>
    <definedName name="solver_eng" localSheetId="4" hidden="1">2</definedName>
    <definedName name="solver_eng" localSheetId="5" hidden="1">2</definedName>
    <definedName name="solver_eng" localSheetId="1" hidden="1">2</definedName>
    <definedName name="solver_eng" localSheetId="0" hidden="1">2</definedName>
    <definedName name="solver_eng" localSheetId="3" hidden="1">2</definedName>
    <definedName name="solver_eng" localSheetId="2" hidden="1">2</definedName>
    <definedName name="solver_eng" localSheetId="6" hidden="1">1</definedName>
    <definedName name="solver_est" localSheetId="4" hidden="1">1</definedName>
    <definedName name="solver_est" localSheetId="5" hidden="1">1</definedName>
    <definedName name="solver_est" localSheetId="1" hidden="1">1</definedName>
    <definedName name="solver_est" localSheetId="0" hidden="1">1</definedName>
    <definedName name="solver_est" localSheetId="3" hidden="1">1</definedName>
    <definedName name="solver_est" localSheetId="2" hidden="1">1</definedName>
    <definedName name="solver_est" localSheetId="6" hidden="1">1</definedName>
    <definedName name="solver_itr" localSheetId="4" hidden="1">2147483647</definedName>
    <definedName name="solver_itr" localSheetId="5" hidden="1">2147483647</definedName>
    <definedName name="solver_itr" localSheetId="1" hidden="1">2147483647</definedName>
    <definedName name="solver_itr" localSheetId="0" hidden="1">2147483647</definedName>
    <definedName name="solver_itr" localSheetId="3" hidden="1">2147483647</definedName>
    <definedName name="solver_itr" localSheetId="2" hidden="1">2147483647</definedName>
    <definedName name="solver_itr" localSheetId="6" hidden="1">2147483647</definedName>
    <definedName name="solver_lhs1" localSheetId="4" hidden="1">'BREAK EVEN  ANALYSIS - 1'!$M$12</definedName>
    <definedName name="solver_lhs1" localSheetId="5" hidden="1">'BREAK EVEN ANALYSIS-2'!$S$11</definedName>
    <definedName name="solver_lhs1" localSheetId="1" hidden="1">'MAKE OR BUY MODEL - 2'!$Q$11</definedName>
    <definedName name="solver_lhs1" localSheetId="0" hidden="1">'MAKE OR BUY MODEL -1'!$M$6</definedName>
    <definedName name="solver_lhs1" localSheetId="3" hidden="1">'MATHEMATICAL MODELLING -2'!$P$19</definedName>
    <definedName name="solver_lhs1" localSheetId="2" hidden="1">'MATHEMATICAL MODELLING-1'!$M$18</definedName>
    <definedName name="solver_lhs1" localSheetId="6" hidden="1">'Prescriptive analysis-1'!$Q$11</definedName>
    <definedName name="solver_lhs2" localSheetId="4" hidden="1">'BREAK EVEN  ANALYSIS - 1'!$O$11</definedName>
    <definedName name="solver_lhs2" localSheetId="5" hidden="1">'BREAK EVEN ANALYSIS-2'!$T$13</definedName>
    <definedName name="solver_lhs2" localSheetId="1" hidden="1">'MAKE OR BUY MODEL - 2'!$R$15</definedName>
    <definedName name="solver_lhs2" localSheetId="3" hidden="1">'MATHEMATICAL MODELLING -2'!$P$20</definedName>
    <definedName name="solver_lhs2" localSheetId="2" hidden="1">'MATHEMATICAL MODELLING-1'!$M$19</definedName>
    <definedName name="solver_lhs3" localSheetId="1" hidden="1">'MAKE OR BUY MODEL - 2'!$R$16</definedName>
    <definedName name="solver_lhs3" localSheetId="3" hidden="1">'MATHEMATICAL MODELLING -2'!$S$14:$S$15</definedName>
    <definedName name="solver_lhs3" localSheetId="2" hidden="1">'MATHEMATICAL MODELLING-1'!$P$14:$P$15</definedName>
    <definedName name="solver_lhs4" localSheetId="3" hidden="1">'MATHEMATICAL MODELLING -2'!$R$14</definedName>
    <definedName name="solver_lhs4" localSheetId="2" hidden="1">'MATHEMATICAL MODELLING-1'!$R$13</definedName>
    <definedName name="solver_mip" localSheetId="4" hidden="1">2147483647</definedName>
    <definedName name="solver_mip" localSheetId="5" hidden="1">2147483647</definedName>
    <definedName name="solver_mip" localSheetId="1" hidden="1">2147483647</definedName>
    <definedName name="solver_mip" localSheetId="0" hidden="1">2147483647</definedName>
    <definedName name="solver_mip" localSheetId="3" hidden="1">2147483647</definedName>
    <definedName name="solver_mip" localSheetId="2" hidden="1">2147483647</definedName>
    <definedName name="solver_mip" localSheetId="6" hidden="1">2147483647</definedName>
    <definedName name="solver_mni" localSheetId="4" hidden="1">30</definedName>
    <definedName name="solver_mni" localSheetId="5" hidden="1">30</definedName>
    <definedName name="solver_mni" localSheetId="1" hidden="1">30</definedName>
    <definedName name="solver_mni" localSheetId="0" hidden="1">30</definedName>
    <definedName name="solver_mni" localSheetId="3" hidden="1">30</definedName>
    <definedName name="solver_mni" localSheetId="2" hidden="1">30</definedName>
    <definedName name="solver_mni" localSheetId="6" hidden="1">30</definedName>
    <definedName name="solver_mrt" localSheetId="4" hidden="1">0.075</definedName>
    <definedName name="solver_mrt" localSheetId="5" hidden="1">0.075</definedName>
    <definedName name="solver_mrt" localSheetId="1" hidden="1">0.075</definedName>
    <definedName name="solver_mrt" localSheetId="0" hidden="1">0.075</definedName>
    <definedName name="solver_mrt" localSheetId="3" hidden="1">0.075</definedName>
    <definedName name="solver_mrt" localSheetId="2" hidden="1">0.075</definedName>
    <definedName name="solver_mrt" localSheetId="6" hidden="1">0.075</definedName>
    <definedName name="solver_msl" localSheetId="4" hidden="1">2</definedName>
    <definedName name="solver_msl" localSheetId="5" hidden="1">2</definedName>
    <definedName name="solver_msl" localSheetId="1" hidden="1">2</definedName>
    <definedName name="solver_msl" localSheetId="0" hidden="1">2</definedName>
    <definedName name="solver_msl" localSheetId="3" hidden="1">2</definedName>
    <definedName name="solver_msl" localSheetId="2" hidden="1">2</definedName>
    <definedName name="solver_msl" localSheetId="6" hidden="1">2</definedName>
    <definedName name="solver_neg" localSheetId="4" hidden="1">1</definedName>
    <definedName name="solver_neg" localSheetId="5" hidden="1">1</definedName>
    <definedName name="solver_neg" localSheetId="1" hidden="1">1</definedName>
    <definedName name="solver_neg" localSheetId="0" hidden="1">1</definedName>
    <definedName name="solver_neg" localSheetId="3" hidden="1">1</definedName>
    <definedName name="solver_neg" localSheetId="2" hidden="1">1</definedName>
    <definedName name="solver_neg" localSheetId="6" hidden="1">1</definedName>
    <definedName name="solver_nod" localSheetId="4" hidden="1">2147483647</definedName>
    <definedName name="solver_nod" localSheetId="5" hidden="1">2147483647</definedName>
    <definedName name="solver_nod" localSheetId="1" hidden="1">2147483647</definedName>
    <definedName name="solver_nod" localSheetId="0" hidden="1">2147483647</definedName>
    <definedName name="solver_nod" localSheetId="3" hidden="1">2147483647</definedName>
    <definedName name="solver_nod" localSheetId="2" hidden="1">2147483647</definedName>
    <definedName name="solver_nod" localSheetId="6" hidden="1">2147483647</definedName>
    <definedName name="solver_num" localSheetId="4" hidden="1">2</definedName>
    <definedName name="solver_num" localSheetId="5" hidden="1">2</definedName>
    <definedName name="solver_num" localSheetId="1" hidden="1">1</definedName>
    <definedName name="solver_num" localSheetId="0" hidden="1">1</definedName>
    <definedName name="solver_num" localSheetId="3" hidden="1">3</definedName>
    <definedName name="solver_num" localSheetId="2" hidden="1">3</definedName>
    <definedName name="solver_num" localSheetId="6" hidden="1">1</definedName>
    <definedName name="solver_nwt" localSheetId="4" hidden="1">1</definedName>
    <definedName name="solver_nwt" localSheetId="5" hidden="1">1</definedName>
    <definedName name="solver_nwt" localSheetId="1" hidden="1">1</definedName>
    <definedName name="solver_nwt" localSheetId="0" hidden="1">1</definedName>
    <definedName name="solver_nwt" localSheetId="3" hidden="1">1</definedName>
    <definedName name="solver_nwt" localSheetId="2" hidden="1">1</definedName>
    <definedName name="solver_nwt" localSheetId="6" hidden="1">1</definedName>
    <definedName name="solver_opt" localSheetId="4" hidden="1">'BREAK EVEN  ANALYSIS - 1'!$L$19</definedName>
    <definedName name="solver_opt" localSheetId="5" hidden="1">'BREAK EVEN ANALYSIS-2'!$T$13</definedName>
    <definedName name="solver_opt" localSheetId="1" hidden="1">'MAKE OR BUY MODEL - 2'!$O$15</definedName>
    <definedName name="solver_opt" localSheetId="0" hidden="1">'MAKE OR BUY MODEL -1'!$K$10</definedName>
    <definedName name="solver_opt" localSheetId="3" hidden="1">'MATHEMATICAL MODELLING -2'!$J$20</definedName>
    <definedName name="solver_opt" localSheetId="2" hidden="1">'MATHEMATICAL MODELLING-1'!$H$19</definedName>
    <definedName name="solver_opt" localSheetId="6" hidden="1">'Prescriptive analysis-1'!$Q$12</definedName>
    <definedName name="solver_pre" localSheetId="4" hidden="1">0.000001</definedName>
    <definedName name="solver_pre" localSheetId="5" hidden="1">0.000001</definedName>
    <definedName name="solver_pre" localSheetId="1" hidden="1">0.000001</definedName>
    <definedName name="solver_pre" localSheetId="0" hidden="1">0.000001</definedName>
    <definedName name="solver_pre" localSheetId="3" hidden="1">0.000001</definedName>
    <definedName name="solver_pre" localSheetId="2" hidden="1">0.000001</definedName>
    <definedName name="solver_pre" localSheetId="6" hidden="1">0.000001</definedName>
    <definedName name="solver_rbv" localSheetId="4" hidden="1">1</definedName>
    <definedName name="solver_rbv" localSheetId="5" hidden="1">1</definedName>
    <definedName name="solver_rbv" localSheetId="1" hidden="1">1</definedName>
    <definedName name="solver_rbv" localSheetId="0" hidden="1">1</definedName>
    <definedName name="solver_rbv" localSheetId="3" hidden="1">1</definedName>
    <definedName name="solver_rbv" localSheetId="2" hidden="1">1</definedName>
    <definedName name="solver_rbv" localSheetId="6" hidden="1">1</definedName>
    <definedName name="solver_rel1" localSheetId="4" hidden="1">3</definedName>
    <definedName name="solver_rel1" localSheetId="5" hidden="1">3</definedName>
    <definedName name="solver_rel1" localSheetId="1" hidden="1">3</definedName>
    <definedName name="solver_rel1" localSheetId="0" hidden="1">3</definedName>
    <definedName name="solver_rel1" localSheetId="3" hidden="1">1</definedName>
    <definedName name="solver_rel1" localSheetId="2" hidden="1">1</definedName>
    <definedName name="solver_rel1" localSheetId="6" hidden="1">3</definedName>
    <definedName name="solver_rel2" localSheetId="4" hidden="1">3</definedName>
    <definedName name="solver_rel2" localSheetId="5" hidden="1">3</definedName>
    <definedName name="solver_rel2" localSheetId="1" hidden="1">3</definedName>
    <definedName name="solver_rel2" localSheetId="3" hidden="1">1</definedName>
    <definedName name="solver_rel2" localSheetId="2" hidden="1">1</definedName>
    <definedName name="solver_rel3" localSheetId="1" hidden="1">2</definedName>
    <definedName name="solver_rel3" localSheetId="3" hidden="1">3</definedName>
    <definedName name="solver_rel3" localSheetId="2" hidden="1">3</definedName>
    <definedName name="solver_rel4" localSheetId="3" hidden="1">1</definedName>
    <definedName name="solver_rel4" localSheetId="2" hidden="1">1</definedName>
    <definedName name="solver_rhs1" localSheetId="4" hidden="1">0</definedName>
    <definedName name="solver_rhs1" localSheetId="5" hidden="1">0</definedName>
    <definedName name="solver_rhs1" localSheetId="1" hidden="1">2500</definedName>
    <definedName name="solver_rhs1" localSheetId="0" hidden="1">1000</definedName>
    <definedName name="solver_rhs1" localSheetId="3" hidden="1">20</definedName>
    <definedName name="solver_rhs1" localSheetId="2" hidden="1">10</definedName>
    <definedName name="solver_rhs1" localSheetId="6" hidden="1">1000</definedName>
    <definedName name="solver_rhs2" localSheetId="4" hidden="1">0</definedName>
    <definedName name="solver_rhs2" localSheetId="5" hidden="1">0</definedName>
    <definedName name="solver_rhs2" localSheetId="1" hidden="1">0</definedName>
    <definedName name="solver_rhs2" localSheetId="3" hidden="1">15</definedName>
    <definedName name="solver_rhs2" localSheetId="2" hidden="1">8</definedName>
    <definedName name="solver_rhs3" localSheetId="1" hidden="1">2500</definedName>
    <definedName name="solver_rhs3" localSheetId="3" hidden="1">0</definedName>
    <definedName name="solver_rhs3" localSheetId="2" hidden="1">0</definedName>
    <definedName name="solver_rhs4" localSheetId="3" hidden="1">15</definedName>
    <definedName name="solver_rhs4" localSheetId="2" hidden="1">8</definedName>
    <definedName name="solver_rlx" localSheetId="4" hidden="1">2</definedName>
    <definedName name="solver_rlx" localSheetId="5" hidden="1">2</definedName>
    <definedName name="solver_rlx" localSheetId="1" hidden="1">2</definedName>
    <definedName name="solver_rlx" localSheetId="0" hidden="1">2</definedName>
    <definedName name="solver_rlx" localSheetId="3" hidden="1">2</definedName>
    <definedName name="solver_rlx" localSheetId="2" hidden="1">2</definedName>
    <definedName name="solver_rlx" localSheetId="6" hidden="1">2</definedName>
    <definedName name="solver_rsd" localSheetId="4" hidden="1">0</definedName>
    <definedName name="solver_rsd" localSheetId="5" hidden="1">0</definedName>
    <definedName name="solver_rsd" localSheetId="1" hidden="1">0</definedName>
    <definedName name="solver_rsd" localSheetId="0" hidden="1">0</definedName>
    <definedName name="solver_rsd" localSheetId="3" hidden="1">0</definedName>
    <definedName name="solver_rsd" localSheetId="2" hidden="1">0</definedName>
    <definedName name="solver_rsd" localSheetId="6" hidden="1">0</definedName>
    <definedName name="solver_scl" localSheetId="4" hidden="1">1</definedName>
    <definedName name="solver_scl" localSheetId="5" hidden="1">1</definedName>
    <definedName name="solver_scl" localSheetId="1" hidden="1">1</definedName>
    <definedName name="solver_scl" localSheetId="0" hidden="1">1</definedName>
    <definedName name="solver_scl" localSheetId="3" hidden="1">1</definedName>
    <definedName name="solver_scl" localSheetId="2" hidden="1">1</definedName>
    <definedName name="solver_scl" localSheetId="6" hidden="1">1</definedName>
    <definedName name="solver_sho" localSheetId="4" hidden="1">2</definedName>
    <definedName name="solver_sho" localSheetId="5" hidden="1">2</definedName>
    <definedName name="solver_sho" localSheetId="1" hidden="1">2</definedName>
    <definedName name="solver_sho" localSheetId="0" hidden="1">2</definedName>
    <definedName name="solver_sho" localSheetId="3" hidden="1">2</definedName>
    <definedName name="solver_sho" localSheetId="2" hidden="1">2</definedName>
    <definedName name="solver_sho" localSheetId="6" hidden="1">2</definedName>
    <definedName name="solver_ssz" localSheetId="4" hidden="1">100</definedName>
    <definedName name="solver_ssz" localSheetId="5" hidden="1">100</definedName>
    <definedName name="solver_ssz" localSheetId="1" hidden="1">100</definedName>
    <definedName name="solver_ssz" localSheetId="0" hidden="1">100</definedName>
    <definedName name="solver_ssz" localSheetId="3" hidden="1">100</definedName>
    <definedName name="solver_ssz" localSheetId="2" hidden="1">100</definedName>
    <definedName name="solver_ssz" localSheetId="6" hidden="1">100</definedName>
    <definedName name="solver_tim" localSheetId="4" hidden="1">2147483647</definedName>
    <definedName name="solver_tim" localSheetId="5" hidden="1">2147483647</definedName>
    <definedName name="solver_tim" localSheetId="1" hidden="1">2147483647</definedName>
    <definedName name="solver_tim" localSheetId="0" hidden="1">2147483647</definedName>
    <definedName name="solver_tim" localSheetId="3" hidden="1">2147483647</definedName>
    <definedName name="solver_tim" localSheetId="2" hidden="1">2147483647</definedName>
    <definedName name="solver_tim" localSheetId="6" hidden="1">2147483647</definedName>
    <definedName name="solver_tol" localSheetId="4" hidden="1">0.01</definedName>
    <definedName name="solver_tol" localSheetId="5" hidden="1">0.01</definedName>
    <definedName name="solver_tol" localSheetId="1" hidden="1">0.01</definedName>
    <definedName name="solver_tol" localSheetId="0" hidden="1">0.01</definedName>
    <definedName name="solver_tol" localSheetId="3" hidden="1">0.01</definedName>
    <definedName name="solver_tol" localSheetId="2" hidden="1">0.01</definedName>
    <definedName name="solver_tol" localSheetId="6" hidden="1">0.01</definedName>
    <definedName name="solver_typ" localSheetId="4" hidden="1">3</definedName>
    <definedName name="solver_typ" localSheetId="5" hidden="1">3</definedName>
    <definedName name="solver_typ" localSheetId="1" hidden="1">1</definedName>
    <definedName name="solver_typ" localSheetId="0" hidden="1">1</definedName>
    <definedName name="solver_typ" localSheetId="3" hidden="1">1</definedName>
    <definedName name="solver_typ" localSheetId="2" hidden="1">1</definedName>
    <definedName name="solver_typ" localSheetId="6" hidden="1">1</definedName>
    <definedName name="solver_val" localSheetId="4" hidden="1">0</definedName>
    <definedName name="solver_val" localSheetId="5" hidden="1">0</definedName>
    <definedName name="solver_val" localSheetId="1" hidden="1">0</definedName>
    <definedName name="solver_val" localSheetId="0" hidden="1">0</definedName>
    <definedName name="solver_val" localSheetId="3" hidden="1">0</definedName>
    <definedName name="solver_val" localSheetId="2" hidden="1">0</definedName>
    <definedName name="solver_val" localSheetId="6" hidden="1">0</definedName>
    <definedName name="solver_ver" localSheetId="4" hidden="1">3</definedName>
    <definedName name="solver_ver" localSheetId="5" hidden="1">3</definedName>
    <definedName name="solver_ver" localSheetId="1" hidden="1">3</definedName>
    <definedName name="solver_ver" localSheetId="0" hidden="1">3</definedName>
    <definedName name="solver_ver" localSheetId="3"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 i="9" l="1"/>
  <c r="Q12" i="9" s="1"/>
  <c r="Q7" i="9"/>
  <c r="J20" i="4"/>
  <c r="P20" i="4"/>
  <c r="P19" i="4"/>
  <c r="Q8" i="9" l="1"/>
  <c r="M15" i="4"/>
  <c r="M14" i="4"/>
  <c r="J15" i="4"/>
  <c r="J14" i="4"/>
  <c r="H19" i="3"/>
  <c r="M19" i="3"/>
  <c r="M18" i="3"/>
  <c r="J15" i="3"/>
  <c r="J14" i="3"/>
  <c r="G15" i="3"/>
  <c r="G14" i="3"/>
  <c r="S15" i="2" l="1"/>
  <c r="O15" i="2"/>
  <c r="S14" i="2"/>
  <c r="S13" i="2"/>
  <c r="O14" i="2"/>
  <c r="O13" i="2"/>
  <c r="O10" i="1"/>
  <c r="O9" i="1"/>
  <c r="O8" i="1"/>
  <c r="K10" i="1"/>
  <c r="K9" i="1"/>
  <c r="K8" i="1"/>
  <c r="W8" i="6"/>
  <c r="W7" i="6"/>
  <c r="T9" i="6"/>
  <c r="T8" i="6"/>
  <c r="T7" i="6"/>
  <c r="N14" i="5"/>
  <c r="N15" i="5"/>
  <c r="K16" i="5"/>
  <c r="K15" i="5"/>
  <c r="K14" i="5"/>
  <c r="Q18" i="2" l="1"/>
  <c r="M13" i="1"/>
  <c r="T13" i="6"/>
  <c r="L19" i="5"/>
</calcChain>
</file>

<file path=xl/sharedStrings.xml><?xml version="1.0" encoding="utf-8"?>
<sst xmlns="http://schemas.openxmlformats.org/spreadsheetml/2006/main" count="206" uniqueCount="156">
  <si>
    <t>Make or Buy Model</t>
  </si>
  <si>
    <t>A company is considering whether to produce a new product in-house or outsource production. The decision depends on cost, which varies based on production volume.</t>
  </si>
  <si>
    <t>In-house Production (Make):</t>
  </si>
  <si>
    <r>
      <t>Fixed Cost:</t>
    </r>
    <r>
      <rPr>
        <sz val="11"/>
        <color theme="1"/>
        <rFont val="Calibri"/>
        <family val="2"/>
        <scheme val="minor"/>
      </rPr>
      <t xml:space="preserve"> $50,000 (to set up a manufacturing facility).</t>
    </r>
  </si>
  <si>
    <r>
      <t>Variable Cost per Unit:</t>
    </r>
    <r>
      <rPr>
        <sz val="11"/>
        <color theme="1"/>
        <rFont val="Calibri"/>
        <family val="2"/>
        <scheme val="minor"/>
      </rPr>
      <t xml:space="preserve"> $125 (for materials, labor, etc.).</t>
    </r>
  </si>
  <si>
    <r>
      <t>Total Cost Formula:</t>
    </r>
    <r>
      <rPr>
        <sz val="11"/>
        <color theme="1"/>
        <rFont val="Calibri"/>
        <family val="2"/>
        <scheme val="minor"/>
      </rPr>
      <t xml:space="preserve"> Fixed Cost + (Variable Cost × Quantity).</t>
    </r>
  </si>
  <si>
    <t>Outsourcing (Buy):</t>
  </si>
  <si>
    <r>
      <t>Fixed Cost:</t>
    </r>
    <r>
      <rPr>
        <sz val="11"/>
        <color theme="1"/>
        <rFont val="Calibri"/>
        <family val="2"/>
        <scheme val="minor"/>
      </rPr>
      <t xml:space="preserve"> $0 (no setup required).</t>
    </r>
  </si>
  <si>
    <r>
      <t>Variable Cost per Unit:</t>
    </r>
    <r>
      <rPr>
        <sz val="11"/>
        <color theme="1"/>
        <rFont val="Calibri"/>
        <family val="2"/>
        <scheme val="minor"/>
      </rPr>
      <t xml:space="preserve"> $175 (purchase price from the supplier).</t>
    </r>
  </si>
  <si>
    <r>
      <t>Total Cost Formula:</t>
    </r>
    <r>
      <rPr>
        <sz val="11"/>
        <color theme="1"/>
        <rFont val="Calibri"/>
        <family val="2"/>
        <scheme val="minor"/>
      </rPr>
      <t xml:space="preserve"> (Variable Cost × Quantity).</t>
    </r>
  </si>
  <si>
    <t>Production Requirement:</t>
  </si>
  <si>
    <r>
      <t xml:space="preserve">The company must produce </t>
    </r>
    <r>
      <rPr>
        <b/>
        <sz val="11"/>
        <color theme="1"/>
        <rFont val="Calibri"/>
        <family val="2"/>
        <scheme val="minor"/>
      </rPr>
      <t>at least 1,000 units</t>
    </r>
    <r>
      <rPr>
        <sz val="11"/>
        <color theme="1"/>
        <rFont val="Calibri"/>
        <family val="2"/>
        <scheme val="minor"/>
      </rPr>
      <t>.</t>
    </r>
  </si>
  <si>
    <t>Decision Objective:</t>
  </si>
  <si>
    <t>Compare the total costs for both options at different production volumes and determine which is more cost-effective.</t>
  </si>
  <si>
    <t xml:space="preserve">A retail company plans to launch a new line of T-shirts and is deciding whether to produce the T-shirts in-house or outsource production to a third-party supplier. </t>
  </si>
  <si>
    <t xml:space="preserve">                                                                       The decision depends on minimizing total costs while meeting a fixed demand.</t>
  </si>
  <si>
    <t>Details of the Problem:</t>
  </si>
  <si>
    <t>1. In-house Production (Make):</t>
  </si>
  <si>
    <r>
      <t>Fixed Cost:</t>
    </r>
    <r>
      <rPr>
        <sz val="11"/>
        <color theme="1"/>
        <rFont val="Calibri"/>
        <family val="2"/>
        <scheme val="minor"/>
      </rPr>
      <t xml:space="preserve"> $40,000 (for setting up the manufacturing unit, including machines and infrastructure).</t>
    </r>
  </si>
  <si>
    <r>
      <t>Variable Cost per Unit:</t>
    </r>
    <r>
      <rPr>
        <sz val="11"/>
        <color theme="1"/>
        <rFont val="Calibri"/>
        <family val="2"/>
        <scheme val="minor"/>
      </rPr>
      <t xml:space="preserve"> $10 (fabric, labor, utilities, etc.).</t>
    </r>
  </si>
  <si>
    <t>2. Outsourcing (Buy):</t>
  </si>
  <si>
    <r>
      <t>Fixed Cost:</t>
    </r>
    <r>
      <rPr>
        <sz val="11"/>
        <color theme="1"/>
        <rFont val="Calibri"/>
        <family val="2"/>
        <scheme val="minor"/>
      </rPr>
      <t xml:space="preserve"> $0 (no setup cost).</t>
    </r>
  </si>
  <si>
    <r>
      <t>Variable Cost per Unit:</t>
    </r>
    <r>
      <rPr>
        <sz val="11"/>
        <color theme="1"/>
        <rFont val="Calibri"/>
        <family val="2"/>
        <scheme val="minor"/>
      </rPr>
      <t xml:space="preserve"> $20 (price charged by the supplier for each T-shirt).</t>
    </r>
  </si>
  <si>
    <t>3. Demand Requirement:</t>
  </si>
  <si>
    <r>
      <t xml:space="preserve">The company expects to sell </t>
    </r>
    <r>
      <rPr>
        <b/>
        <sz val="11"/>
        <color theme="1"/>
        <rFont val="Calibri"/>
        <family val="2"/>
        <scheme val="minor"/>
      </rPr>
      <t>at least 2,500 T-shirts</t>
    </r>
    <r>
      <rPr>
        <sz val="11"/>
        <color theme="1"/>
        <rFont val="Calibri"/>
        <family val="2"/>
        <scheme val="minor"/>
      </rPr>
      <t>.</t>
    </r>
  </si>
  <si>
    <t>4. Decision Objective:</t>
  </si>
  <si>
    <t>Determine whether it’s more cost-effective to produce the T-shirts in-house or outsource the production based on the total cost for the required quantity.</t>
  </si>
  <si>
    <r>
      <t>Total Cost Formula:</t>
    </r>
    <r>
      <rPr>
        <sz val="11"/>
        <color theme="1"/>
        <rFont val="Calibri"/>
        <family val="2"/>
        <scheme val="minor"/>
      </rPr>
      <t xml:space="preserve"> TCbuy​=(Variable Cost per Unit×Units Produced)</t>
    </r>
  </si>
  <si>
    <t>MATHEMATICAL    MODELLING</t>
  </si>
  <si>
    <r>
      <t xml:space="preserve">A </t>
    </r>
    <r>
      <rPr>
        <b/>
        <sz val="11"/>
        <color theme="1"/>
        <rFont val="Calibri"/>
        <family val="2"/>
        <scheme val="minor"/>
      </rPr>
      <t>small bakery</t>
    </r>
    <r>
      <rPr>
        <sz val="11"/>
        <color theme="1"/>
        <rFont val="Calibri"/>
        <family val="2"/>
        <scheme val="minor"/>
      </rPr>
      <t xml:space="preserve"> wants to determine how many cakes and cookies it should produce daily to maximize profit, given limited resources.</t>
    </r>
  </si>
  <si>
    <r>
      <t>1. Objective:</t>
    </r>
    <r>
      <rPr>
        <sz val="11"/>
        <color theme="1"/>
        <rFont val="Calibri"/>
        <family val="2"/>
        <scheme val="minor"/>
      </rPr>
      <t xml:space="preserve"> Maximize profit by deciding the number of cakes and cookies to produce.</t>
    </r>
  </si>
  <si>
    <t>2. Inputs:</t>
  </si>
  <si>
    <t>Profit Per Unit:</t>
  </si>
  <si>
    <t>Cake: $5</t>
  </si>
  <si>
    <t>Cookie: $3</t>
  </si>
  <si>
    <t>Resource Availability:</t>
  </si>
  <si>
    <t>Flour: 10 kg available daily.</t>
  </si>
  <si>
    <t>Sugar: 8 kg available daily.</t>
  </si>
  <si>
    <t>Resource Requirement (per unit):</t>
  </si>
  <si>
    <t>Cake: 2 kg of flour, 1 kg of sugar.</t>
  </si>
  <si>
    <t>Cookie: 1 kg of flour, 1 kg of sugar.</t>
  </si>
  <si>
    <t>3. Constraints:</t>
  </si>
  <si>
    <t>Total flour used cannot exceed 10 kg.</t>
  </si>
  <si>
    <t>Total sugar used cannot exceed 8 kg.</t>
  </si>
  <si>
    <t>Number of cakes and cookies must be non-negative.</t>
  </si>
  <si>
    <t>MATHEMATICAL MODELLING -2</t>
  </si>
  <si>
    <r>
      <t xml:space="preserve">A </t>
    </r>
    <r>
      <rPr>
        <b/>
        <sz val="11"/>
        <color theme="1"/>
        <rFont val="Calibri"/>
        <family val="2"/>
        <scheme val="minor"/>
      </rPr>
      <t>juice shop</t>
    </r>
    <r>
      <rPr>
        <sz val="11"/>
        <color theme="1"/>
        <rFont val="Calibri"/>
        <family val="2"/>
        <scheme val="minor"/>
      </rPr>
      <t xml:space="preserve"> wants to determine how many glasses of orange juice and apple juice to prepare daily to maximize profit, given limited resources.</t>
    </r>
  </si>
  <si>
    <r>
      <t>1. Objective:</t>
    </r>
    <r>
      <rPr>
        <sz val="11"/>
        <color theme="1"/>
        <rFont val="Calibri"/>
        <family val="2"/>
        <scheme val="minor"/>
      </rPr>
      <t xml:space="preserve"> Maximize profit by deciding the number of orange juice and apple juice glasses to prepare.</t>
    </r>
  </si>
  <si>
    <t>Profit Per Glass:</t>
  </si>
  <si>
    <t>Orange Juice: $4</t>
  </si>
  <si>
    <t>Apple Juice: $5</t>
  </si>
  <si>
    <t>Oranges: 20 units available daily.</t>
  </si>
  <si>
    <t>Apples: 15 units available daily.</t>
  </si>
  <si>
    <t>Resource Requirement (per glass):</t>
  </si>
  <si>
    <t>Orange Juice: 2 oranges per glass.</t>
  </si>
  <si>
    <t>Apple Juice: 3 apples per glass.</t>
  </si>
  <si>
    <t>Total oranges used cannot exceed 20 units.</t>
  </si>
  <si>
    <t>Total apples used cannot exceed 15 units.</t>
  </si>
  <si>
    <t>Number of glasses must be non-negative.</t>
  </si>
  <si>
    <t>4. Mathematical Model:</t>
  </si>
  <si>
    <t>Decision Variables:</t>
  </si>
  <si>
    <t>Let xxx = number of orange juice glasses and yyy = number of apple juice glasses.</t>
  </si>
  <si>
    <t>Objective Function:</t>
  </si>
  <si>
    <t>Maximize profit: Profit= 4x + 5y</t>
  </si>
  <si>
    <t>BREAK EVEN POINT</t>
  </si>
  <si>
    <r>
      <t xml:space="preserve">A </t>
    </r>
    <r>
      <rPr>
        <b/>
        <sz val="11"/>
        <color theme="1"/>
        <rFont val="Calibri"/>
        <family val="2"/>
        <scheme val="minor"/>
      </rPr>
      <t>coffee shop</t>
    </r>
    <r>
      <rPr>
        <sz val="11"/>
        <color theme="1"/>
        <rFont val="Calibri"/>
        <family val="2"/>
        <scheme val="minor"/>
      </rPr>
      <t xml:space="preserve"> wants to determine how many cups of coffee it needs to sell to cover its costs, i.e., break even. This will help the business understand the minimum sales needed before it starts making a profit.</t>
    </r>
  </si>
  <si>
    <r>
      <t>1. Objective:</t>
    </r>
    <r>
      <rPr>
        <sz val="11"/>
        <color theme="1"/>
        <rFont val="Calibri"/>
        <family val="2"/>
        <scheme val="minor"/>
      </rPr>
      <t xml:space="preserve"> Find the break-even point — the number of cups of coffee to sell in order to cover the shop's fixed and variable costs.</t>
    </r>
  </si>
  <si>
    <t>Fixed Costs:</t>
  </si>
  <si>
    <t>These are the costs that don’t change with the number of cups sold.</t>
  </si>
  <si>
    <t>Example: Rent, utilities, etc.</t>
  </si>
  <si>
    <t>Fixed costs = $2000 per month.</t>
  </si>
  <si>
    <t>Variable Costs (per cup):</t>
  </si>
  <si>
    <t>The cost of making one cup of coffee, which includes ingredients and labor.</t>
  </si>
  <si>
    <t>Example: Each cup of coffee costs $1 to make.</t>
  </si>
  <si>
    <t>Variable cost per cup = $1.</t>
  </si>
  <si>
    <t>Selling Price (per cup):</t>
  </si>
  <si>
    <t>The price at which each cup of coffee is sold.</t>
  </si>
  <si>
    <t>Selling price per cup = $5.</t>
  </si>
  <si>
    <t>BREAK  EVEN ANALYSIS -2</t>
  </si>
  <si>
    <t>Imagine a bookstore that sells a variety of books and wants to determine how many books it needs to sell to cover its costs.</t>
  </si>
  <si>
    <t>The bookstore has fixed costs such as rent for the shop, salaries of employees, and utilities. These costs stay the same every month, regardless of how many books are sold.</t>
  </si>
  <si>
    <t>Fixed costs = ₹20,000 per month.</t>
  </si>
  <si>
    <t>Variable Costs (per book):</t>
  </si>
  <si>
    <t>The bookstore purchases each book for resale, and there are additional costs for packaging and handling.</t>
  </si>
  <si>
    <t>Variable cost per book = ₹150.</t>
  </si>
  <si>
    <t>Selling Price (per book):</t>
  </si>
  <si>
    <r>
      <t xml:space="preserve">The bookstore sells each book for </t>
    </r>
    <r>
      <rPr>
        <b/>
        <sz val="11"/>
        <color theme="1"/>
        <rFont val="Calibri"/>
        <family val="2"/>
        <scheme val="minor"/>
      </rPr>
      <t>₹300</t>
    </r>
    <r>
      <rPr>
        <sz val="11"/>
        <color theme="1"/>
        <rFont val="Calibri"/>
        <family val="2"/>
        <scheme val="minor"/>
      </rPr>
      <t>.</t>
    </r>
  </si>
  <si>
    <t>Given Information:</t>
  </si>
  <si>
    <t>Objective:</t>
  </si>
  <si>
    <t>Constraints:</t>
  </si>
  <si>
    <t>A clothing retailer is considering how to price a new line of T-shirts. The goal is to find the optimal price that will maximize profit based on demand and cost.</t>
  </si>
  <si>
    <r>
      <t>Fixed Costs</t>
    </r>
    <r>
      <rPr>
        <sz val="11"/>
        <color theme="1"/>
        <rFont val="Calibri"/>
        <family val="2"/>
        <scheme val="minor"/>
      </rPr>
      <t>: ₹50,000 (for store rent, marketing, and overhead costs).</t>
    </r>
  </si>
  <si>
    <r>
      <t>Variable Cost per T-shirt</t>
    </r>
    <r>
      <rPr>
        <sz val="11"/>
        <color theme="1"/>
        <rFont val="Calibri"/>
        <family val="2"/>
        <scheme val="minor"/>
      </rPr>
      <t>: ₹200 (cost of fabric, labor, etc., per T-shirt).</t>
    </r>
  </si>
  <si>
    <r>
      <t xml:space="preserve">The retailer wants to find the price per T-shirt that will maximize the </t>
    </r>
    <r>
      <rPr>
        <b/>
        <sz val="11"/>
        <color theme="1"/>
        <rFont val="Calibri"/>
        <family val="2"/>
        <scheme val="minor"/>
      </rPr>
      <t>profit</t>
    </r>
    <r>
      <rPr>
        <sz val="11"/>
        <color theme="1"/>
        <rFont val="Calibri"/>
        <family val="2"/>
        <scheme val="minor"/>
      </rPr>
      <t>, which is calculated as the difference between total revenue and total cost.</t>
    </r>
  </si>
  <si>
    <t>The price of the T-shirt cannot exceed ₹1,000.</t>
  </si>
  <si>
    <t>The price should be at least ₹300 to ensure the business remains profitable.</t>
  </si>
  <si>
    <t>The number of T-shirts sold must be non-negative (no negative sales).</t>
  </si>
  <si>
    <t>Goal:</t>
  </si>
  <si>
    <r>
      <t xml:space="preserve">To use a prescriptive model to determine the </t>
    </r>
    <r>
      <rPr>
        <b/>
        <sz val="11"/>
        <color theme="1"/>
        <rFont val="Calibri"/>
        <family val="2"/>
        <scheme val="minor"/>
      </rPr>
      <t>optimal price</t>
    </r>
    <r>
      <rPr>
        <sz val="11"/>
        <color theme="1"/>
        <rFont val="Calibri"/>
        <family val="2"/>
        <scheme val="minor"/>
      </rPr>
      <t xml:space="preserve"> per T-shirt that will maximize the retailer’s profit.</t>
    </r>
  </si>
  <si>
    <r>
      <t>•</t>
    </r>
    <r>
      <rPr>
        <sz val="16.8"/>
        <color rgb="FF000000"/>
        <rFont val="Calibri"/>
        <family val="2"/>
        <scheme val="minor"/>
      </rPr>
      <t>A firm wishes to determine the best pricing for one of its products in order to maximize profit.</t>
    </r>
  </si>
  <si>
    <r>
      <t>•</t>
    </r>
    <r>
      <rPr>
        <sz val="16.8"/>
        <color rgb="FF000000"/>
        <rFont val="Calibri"/>
        <family val="2"/>
        <scheme val="minor"/>
      </rPr>
      <t>Analysts determined the following model:  Sales = -2.9(price) + 3000</t>
    </r>
  </si>
  <si>
    <r>
      <t>•</t>
    </r>
    <r>
      <rPr>
        <sz val="16.8"/>
        <color rgb="FF000000"/>
        <rFont val="Calibri"/>
        <family val="2"/>
        <scheme val="minor"/>
      </rPr>
      <t>Total revenue = (price)(sales)</t>
    </r>
  </si>
  <si>
    <r>
      <t>•</t>
    </r>
    <r>
      <rPr>
        <sz val="16.8"/>
        <color rgb="FF000000"/>
        <rFont val="Calibri"/>
        <family val="2"/>
        <scheme val="minor"/>
      </rPr>
      <t>Fixed cost = 5000</t>
    </r>
  </si>
  <si>
    <r>
      <t>•</t>
    </r>
    <r>
      <rPr>
        <sz val="16.8"/>
        <color rgb="FF000000"/>
        <rFont val="Calibri"/>
        <family val="2"/>
        <scheme val="minor"/>
      </rPr>
      <t>Total Cost = 10(Sales) + 5000</t>
    </r>
  </si>
  <si>
    <r>
      <t>•</t>
    </r>
    <r>
      <rPr>
        <sz val="16.8"/>
        <color rgb="FF000000"/>
        <rFont val="Calibri"/>
        <family val="2"/>
        <scheme val="minor"/>
      </rPr>
      <t>Identify the price that maximizes profit, subject to any constraints that might exist.</t>
    </r>
  </si>
  <si>
    <t>Sales = -2.9 (Price) + 3000</t>
  </si>
  <si>
    <t>Total revenue = (Price)(Sales)</t>
  </si>
  <si>
    <t>Cost = 10(Sales) + 5000</t>
  </si>
  <si>
    <r>
      <t>Total Cost Formula:</t>
    </r>
    <r>
      <rPr>
        <sz val="11"/>
        <color theme="1"/>
        <rFont val="Calibri"/>
        <family val="2"/>
        <scheme val="minor"/>
      </rPr>
      <t xml:space="preserve"> TCmake​=Fixed Cost+(Variable Cost per Unit×Units Produced)</t>
    </r>
  </si>
  <si>
    <t>The retailer has estimated the following demand function for the T-shirts: Sales=2000−50×Price This means, for each ₹1 increase in price, the retailer will sell 50 fewer T-shirts.</t>
  </si>
  <si>
    <t>FC</t>
  </si>
  <si>
    <t>VC</t>
  </si>
  <si>
    <t>SP</t>
  </si>
  <si>
    <t>TR=SP*Q</t>
  </si>
  <si>
    <t>TC=FC+(VC*Q)</t>
  </si>
  <si>
    <t>QUANTITY</t>
  </si>
  <si>
    <t>PROFIT=TR-TC</t>
  </si>
  <si>
    <t>TC=FC(VC*Q)</t>
  </si>
  <si>
    <t>PROFIT</t>
  </si>
  <si>
    <t>MAKE</t>
  </si>
  <si>
    <t>BUY</t>
  </si>
  <si>
    <t>TCF</t>
  </si>
  <si>
    <t>DECISION</t>
  </si>
  <si>
    <t>Profit per unit</t>
  </si>
  <si>
    <t>CAKE</t>
  </si>
  <si>
    <t>COOKIE</t>
  </si>
  <si>
    <t>Resource Availability</t>
  </si>
  <si>
    <t>FLOUR</t>
  </si>
  <si>
    <t>SUGAR</t>
  </si>
  <si>
    <t>Resource Requirement(P U)</t>
  </si>
  <si>
    <t>2x+1y</t>
  </si>
  <si>
    <t>1x+1y</t>
  </si>
  <si>
    <t>Resource Requirement</t>
  </si>
  <si>
    <t>2*quantity of cake+1*quantity of cookie</t>
  </si>
  <si>
    <t>1*quantity of cake+1*quantity of cookie</t>
  </si>
  <si>
    <t>5*quantity of cake +3*quantity of cookie</t>
  </si>
  <si>
    <t>ORANGE</t>
  </si>
  <si>
    <t>ORANGE JUICE</t>
  </si>
  <si>
    <t>PROFIT PER GLASS</t>
  </si>
  <si>
    <t>APPLE JUICE</t>
  </si>
  <si>
    <t>RESOURCE AVAILABILITY</t>
  </si>
  <si>
    <t>APPLE</t>
  </si>
  <si>
    <t>RESOURCE REQUIREMENT(P U)</t>
  </si>
  <si>
    <t>RESOURCE REQUIREMENT</t>
  </si>
  <si>
    <t>2a</t>
  </si>
  <si>
    <t>ORANGE=a</t>
  </si>
  <si>
    <t>APPLE =b</t>
  </si>
  <si>
    <t>3b</t>
  </si>
  <si>
    <t>2*Quantity of orange</t>
  </si>
  <si>
    <t>3*Quantity of apple</t>
  </si>
  <si>
    <t>Price</t>
  </si>
  <si>
    <t>SALES</t>
  </si>
  <si>
    <t>TC</t>
  </si>
  <si>
    <t>total cost=fixed cost+(VC*Q)</t>
  </si>
  <si>
    <t>SALES=-2.9(PRICE)+3000</t>
  </si>
  <si>
    <t>PROFIT=(PRICE-COST PER UNIT)*SALES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</si>
</sst>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8"/>
      <color theme="1"/>
      <name val="Calibri"/>
      <family val="2"/>
      <scheme val="minor"/>
    </font>
    <font>
      <sz val="12"/>
      <color theme="1"/>
      <name val="Calibri"/>
      <family val="2"/>
      <scheme val="minor"/>
    </font>
    <font>
      <sz val="20"/>
      <color theme="1"/>
      <name val="Calibri"/>
      <family val="2"/>
      <scheme val="minor"/>
    </font>
    <font>
      <b/>
      <sz val="13.5"/>
      <color theme="1"/>
      <name val="Calibri"/>
      <family val="2"/>
      <scheme val="minor"/>
    </font>
    <font>
      <sz val="22"/>
      <color theme="1"/>
      <name val="Calibri"/>
      <family val="2"/>
      <scheme val="minor"/>
    </font>
    <font>
      <b/>
      <sz val="12"/>
      <color theme="1"/>
      <name val="Calibri"/>
      <family val="2"/>
      <scheme val="minor"/>
    </font>
    <font>
      <sz val="17"/>
      <color rgb="FF000000"/>
      <name val="Arial"/>
      <family val="2"/>
    </font>
    <font>
      <sz val="16.8"/>
      <color rgb="FF000000"/>
      <name val="Calibri"/>
      <family val="2"/>
      <scheme val="minor"/>
    </font>
    <font>
      <sz val="14"/>
      <color rgb="FF000000"/>
      <name val="Calibri"/>
      <family val="2"/>
    </font>
    <font>
      <sz val="14"/>
      <color rgb="FF000000"/>
      <name val="Calibri"/>
      <family val="2"/>
      <scheme val="minor"/>
    </font>
  </fonts>
  <fills count="3">
    <fill>
      <patternFill patternType="none"/>
    </fill>
    <fill>
      <patternFill patternType="gray125"/>
    </fill>
    <fill>
      <patternFill patternType="solid">
        <fgColor rgb="FFE8ECF4"/>
        <bgColor indexed="64"/>
      </patternFill>
    </fill>
  </fills>
  <borders count="2">
    <border>
      <left/>
      <right/>
      <top/>
      <bottom/>
      <diagonal/>
    </border>
    <border>
      <left style="medium">
        <color rgb="FFFFFFFF"/>
      </left>
      <right style="medium">
        <color rgb="FFFFFFFF"/>
      </right>
      <top style="medium">
        <color rgb="FFFFFFFF"/>
      </top>
      <bottom style="medium">
        <color rgb="FFFFFFFF"/>
      </bottom>
      <diagonal/>
    </border>
  </borders>
  <cellStyleXfs count="1">
    <xf numFmtId="0" fontId="0" fillId="0" borderId="0"/>
  </cellStyleXfs>
  <cellXfs count="17">
    <xf numFmtId="0" fontId="0" fillId="0" borderId="0" xfId="0"/>
    <xf numFmtId="0" fontId="2" fillId="0" borderId="0" xfId="0" applyFont="1"/>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xf numFmtId="0" fontId="4" fillId="0" borderId="0" xfId="0" applyFont="1"/>
    <xf numFmtId="0" fontId="5" fillId="0" borderId="0" xfId="0" applyFont="1" applyAlignment="1">
      <alignment vertical="center"/>
    </xf>
    <xf numFmtId="0" fontId="1" fillId="0" borderId="0" xfId="0" applyFont="1" applyAlignment="1">
      <alignment horizontal="left" vertical="center" indent="2"/>
    </xf>
    <xf numFmtId="0" fontId="0" fillId="0" borderId="0" xfId="0" applyAlignment="1">
      <alignment horizontal="left" vertical="center" indent="2"/>
    </xf>
    <xf numFmtId="0" fontId="6" fillId="0" borderId="0" xfId="0" applyFont="1"/>
    <xf numFmtId="0" fontId="0" fillId="0" borderId="0" xfId="0" applyAlignment="1">
      <alignment horizontal="left" vertical="center" indent="3"/>
    </xf>
    <xf numFmtId="0" fontId="7" fillId="0" borderId="0" xfId="0" applyFont="1" applyAlignment="1">
      <alignment vertical="center"/>
    </xf>
    <xf numFmtId="0" fontId="8" fillId="0" borderId="0" xfId="0" applyFont="1" applyAlignment="1">
      <alignment horizontal="left" vertical="center" indent="4" readingOrder="1"/>
    </xf>
    <xf numFmtId="0" fontId="11" fillId="0" borderId="0" xfId="0" applyFont="1" applyAlignment="1">
      <alignment horizontal="left" vertical="center" readingOrder="1"/>
    </xf>
    <xf numFmtId="0" fontId="10" fillId="0" borderId="1" xfId="0" applyFont="1" applyBorder="1" applyAlignment="1">
      <alignment horizontal="left" vertical="top" wrapText="1" readingOrder="1"/>
    </xf>
    <xf numFmtId="0" fontId="10" fillId="2" borderId="1" xfId="0" applyFont="1" applyFill="1" applyBorder="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2" Type="http://schemas.openxmlformats.org/officeDocument/2006/relationships/image" Target="../media/image6.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15</xdr:col>
      <xdr:colOff>558195</xdr:colOff>
      <xdr:row>12</xdr:row>
      <xdr:rowOff>49020</xdr:rowOff>
    </xdr:from>
    <xdr:to>
      <xdr:col>15</xdr:col>
      <xdr:colOff>586635</xdr:colOff>
      <xdr:row>12</xdr:row>
      <xdr:rowOff>58020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6" name="Ink 25">
              <a:extLst>
                <a:ext uri="{FF2B5EF4-FFF2-40B4-BE49-F238E27FC236}">
                  <a16:creationId xmlns:a16="http://schemas.microsoft.com/office/drawing/2014/main" id="{53956EB5-F3BE-A793-BF0E-50A6F4A74983}"/>
                </a:ext>
              </a:extLst>
            </xdr14:cNvPr>
            <xdr14:cNvContentPartPr/>
          </xdr14:nvContentPartPr>
          <xdr14:nvPr macro=""/>
          <xdr14:xfrm>
            <a:off x="9940320" y="2373120"/>
            <a:ext cx="28440" cy="9000"/>
          </xdr14:xfrm>
        </xdr:contentPart>
      </mc:Choice>
      <mc:Fallback xmlns="">
        <xdr:pic>
          <xdr:nvPicPr>
            <xdr:cNvPr id="26" name="Ink 25">
              <a:extLst>
                <a:ext uri="{FF2B5EF4-FFF2-40B4-BE49-F238E27FC236}">
                  <a16:creationId xmlns:a16="http://schemas.microsoft.com/office/drawing/2014/main" id="{53956EB5-F3BE-A793-BF0E-50A6F4A74983}"/>
                </a:ext>
              </a:extLst>
            </xdr:cNvPr>
            <xdr:cNvPicPr/>
          </xdr:nvPicPr>
          <xdr:blipFill>
            <a:blip xmlns:r="http://schemas.openxmlformats.org/officeDocument/2006/relationships" r:embed="rId12"/>
            <a:stretch>
              <a:fillRect/>
            </a:stretch>
          </xdr:blipFill>
          <xdr:spPr>
            <a:xfrm>
              <a:off x="9934200" y="2367000"/>
              <a:ext cx="40680" cy="212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283170</xdr:colOff>
      <xdr:row>13</xdr:row>
      <xdr:rowOff>130410</xdr:rowOff>
    </xdr:from>
    <xdr:to>
      <xdr:col>7</xdr:col>
      <xdr:colOff>287850</xdr:colOff>
      <xdr:row>13</xdr:row>
      <xdr:rowOff>146610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183CFE7-E88B-08D5-AAD0-24D0B746FCC7}"/>
                </a:ext>
              </a:extLst>
            </xdr14:cNvPr>
            <xdr14:cNvContentPartPr/>
          </xdr14:nvContentPartPr>
          <xdr14:nvPr macro=""/>
          <xdr14:xfrm>
            <a:off x="6360120" y="3387960"/>
            <a:ext cx="4680" cy="16200"/>
          </xdr14:xfrm>
        </xdr:contentPart>
      </mc:Choice>
      <mc:Fallback xmlns="">
        <xdr:pic>
          <xdr:nvPicPr>
            <xdr:cNvPr id="2" name="Ink 1">
              <a:extLst>
                <a:ext uri="{FF2B5EF4-FFF2-40B4-BE49-F238E27FC236}">
                  <a16:creationId xmlns:a16="http://schemas.microsoft.com/office/drawing/2014/main" id="{A183CFE7-E88B-08D5-AAD0-24D0B746FCC7}"/>
                </a:ext>
              </a:extLst>
            </xdr:cNvPr>
            <xdr:cNvPicPr/>
          </xdr:nvPicPr>
          <xdr:blipFill>
            <a:blip xmlns:r="http://schemas.openxmlformats.org/officeDocument/2006/relationships" r:embed="rId2"/>
            <a:stretch>
              <a:fillRect/>
            </a:stretch>
          </xdr:blipFill>
          <xdr:spPr>
            <a:xfrm>
              <a:off x="6354000" y="3381840"/>
              <a:ext cx="16920" cy="28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05T10:12:07.522"/>
    </inkml:context>
    <inkml:brush xml:id="br0">
      <inkml:brushProperty name="width" value="0.035" units="cm"/>
      <inkml:brushProperty name="height" value="0.035" units="cm"/>
    </inkml:brush>
  </inkml:definitions>
  <inkml:trace contextRef="#ctx0" brushRef="#br0">26 17 3144,'-16'-5'1518,"10"3"-1262,10-6-1544,-1 7 218,-3 1 366</inkml:trace>
  <inkml:trace contextRef="#ctx0" brushRef="#br0" timeOffset="191.26">79 19 3500,'-11'0'104,"8"3"48,-4-6 8,-1 6-28,5-3 4,-4 0-4,0 3 96,-4-6-160,7 3-44,-6 0-124,6 0-628,1-3-992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05T11:13:05.097"/>
    </inkml:context>
    <inkml:brush xml:id="br0">
      <inkml:brushProperty name="width" value="0.035" units="cm"/>
      <inkml:brushProperty name="height" value="0.035" units="cm"/>
    </inkml:brush>
  </inkml:definitions>
  <inkml:trace contextRef="#ctx0" brushRef="#br0">11 0 1832,'-1'1'66,"1"0"0,-1 0 1,0 1-1,1-1 0,-1 0 0,1 0 0,0 0 0,-1 1 0,1-1 0,0 0 1,0 1-1,-1-1 0,1 0 0,0 1 0,0-1 0,1 0 0,-1 0 0,0 1 1,0-1-1,1 0 0,-1 1 0,0-1 0,1 0 0,1 2 0,0 8 745,-9-12-1034,3-2-988,3 0 205</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AF92A-9AC4-4F2B-9A3A-E788C4A90E61}">
  <dimension ref="A2:O34"/>
  <sheetViews>
    <sheetView zoomScale="99" zoomScaleNormal="130" workbookViewId="0">
      <selection activeCell="L15" sqref="L15"/>
    </sheetView>
  </sheetViews>
  <sheetFormatPr defaultRowHeight="14.5" x14ac:dyDescent="0.35"/>
  <sheetData>
    <row r="2" spans="1:15" ht="23.5" x14ac:dyDescent="0.55000000000000004">
      <c r="A2" s="1" t="s">
        <v>0</v>
      </c>
    </row>
    <row r="4" spans="1:15" ht="15.5" x14ac:dyDescent="0.35">
      <c r="B4" s="5" t="s">
        <v>1</v>
      </c>
    </row>
    <row r="6" spans="1:15" x14ac:dyDescent="0.35">
      <c r="C6" s="2" t="s">
        <v>2</v>
      </c>
      <c r="L6" t="s">
        <v>115</v>
      </c>
      <c r="M6">
        <v>1000</v>
      </c>
    </row>
    <row r="7" spans="1:15" x14ac:dyDescent="0.35">
      <c r="C7" s="3"/>
      <c r="K7" t="s">
        <v>119</v>
      </c>
      <c r="O7" t="s">
        <v>120</v>
      </c>
    </row>
    <row r="8" spans="1:15" x14ac:dyDescent="0.35">
      <c r="C8" s="4" t="s">
        <v>3</v>
      </c>
      <c r="J8" t="s">
        <v>110</v>
      </c>
      <c r="K8">
        <f>50000</f>
        <v>50000</v>
      </c>
      <c r="N8" t="s">
        <v>110</v>
      </c>
      <c r="O8">
        <f>0</f>
        <v>0</v>
      </c>
    </row>
    <row r="9" spans="1:15" x14ac:dyDescent="0.35">
      <c r="C9" s="4" t="s">
        <v>4</v>
      </c>
      <c r="J9" t="s">
        <v>111</v>
      </c>
      <c r="K9">
        <f>125</f>
        <v>125</v>
      </c>
      <c r="N9" t="s">
        <v>111</v>
      </c>
      <c r="O9">
        <f>175</f>
        <v>175</v>
      </c>
    </row>
    <row r="10" spans="1:15" x14ac:dyDescent="0.35">
      <c r="C10" s="4" t="s">
        <v>5</v>
      </c>
      <c r="J10" t="s">
        <v>121</v>
      </c>
      <c r="K10">
        <f>K8+(K9*M6)</f>
        <v>175000</v>
      </c>
      <c r="N10" t="s">
        <v>121</v>
      </c>
      <c r="O10">
        <f>(O9*M6)</f>
        <v>175000</v>
      </c>
    </row>
    <row r="12" spans="1:15" x14ac:dyDescent="0.35">
      <c r="C12" s="2" t="s">
        <v>6</v>
      </c>
    </row>
    <row r="13" spans="1:15" x14ac:dyDescent="0.35">
      <c r="C13" s="3"/>
      <c r="L13" t="s">
        <v>122</v>
      </c>
      <c r="M13" t="str">
        <f>IF(K10&lt;O10,"BUY","MAKE")</f>
        <v>MAKE</v>
      </c>
    </row>
    <row r="14" spans="1:15" x14ac:dyDescent="0.35">
      <c r="C14" s="4" t="s">
        <v>7</v>
      </c>
    </row>
    <row r="15" spans="1:15" x14ac:dyDescent="0.35">
      <c r="C15" s="4" t="s">
        <v>8</v>
      </c>
    </row>
    <row r="16" spans="1:15" x14ac:dyDescent="0.35">
      <c r="C16" s="4" t="s">
        <v>9</v>
      </c>
    </row>
    <row r="18" spans="2:3" x14ac:dyDescent="0.35">
      <c r="C18" s="2" t="s">
        <v>10</v>
      </c>
    </row>
    <row r="19" spans="2:3" x14ac:dyDescent="0.35">
      <c r="C19" s="3"/>
    </row>
    <row r="20" spans="2:3" x14ac:dyDescent="0.35">
      <c r="C20" s="3" t="s">
        <v>11</v>
      </c>
    </row>
    <row r="22" spans="2:3" x14ac:dyDescent="0.35">
      <c r="B22" s="2" t="s">
        <v>12</v>
      </c>
    </row>
    <row r="23" spans="2:3" x14ac:dyDescent="0.35">
      <c r="B23" s="3"/>
    </row>
    <row r="24" spans="2:3" x14ac:dyDescent="0.35">
      <c r="B24" s="3" t="s">
        <v>13</v>
      </c>
    </row>
    <row r="34" spans="2:2" x14ac:dyDescent="0.35">
      <c r="B3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B3E9-8D08-44C5-86F3-322804BDA34E}">
  <dimension ref="A2:S32"/>
  <sheetViews>
    <sheetView topLeftCell="A2" zoomScale="78" workbookViewId="0">
      <selection activeCell="Q12" sqref="Q12"/>
    </sheetView>
  </sheetViews>
  <sheetFormatPr defaultRowHeight="14.5" x14ac:dyDescent="0.35"/>
  <cols>
    <col min="15" max="15" width="12.1796875" customWidth="1"/>
    <col min="17" max="17" width="11.453125" customWidth="1"/>
    <col min="18" max="18" width="17" customWidth="1"/>
  </cols>
  <sheetData>
    <row r="2" spans="1:19" ht="26" x14ac:dyDescent="0.6">
      <c r="A2" s="6" t="s">
        <v>0</v>
      </c>
    </row>
    <row r="4" spans="1:19" x14ac:dyDescent="0.35">
      <c r="B4" t="s">
        <v>14</v>
      </c>
    </row>
    <row r="5" spans="1:19" x14ac:dyDescent="0.35">
      <c r="B5" t="s">
        <v>15</v>
      </c>
    </row>
    <row r="8" spans="1:19" ht="17.5" x14ac:dyDescent="0.35">
      <c r="B8" s="7" t="s">
        <v>16</v>
      </c>
    </row>
    <row r="9" spans="1:19" x14ac:dyDescent="0.35">
      <c r="B9" s="3"/>
    </row>
    <row r="10" spans="1:19" x14ac:dyDescent="0.35">
      <c r="B10" s="4" t="s">
        <v>17</v>
      </c>
    </row>
    <row r="11" spans="1:19" x14ac:dyDescent="0.35">
      <c r="B11" s="3"/>
      <c r="P11" t="s">
        <v>115</v>
      </c>
      <c r="Q11">
        <v>2500</v>
      </c>
    </row>
    <row r="12" spans="1:19" x14ac:dyDescent="0.35">
      <c r="B12" s="3"/>
      <c r="N12" t="s">
        <v>119</v>
      </c>
      <c r="R12" t="s">
        <v>120</v>
      </c>
    </row>
    <row r="13" spans="1:19" x14ac:dyDescent="0.35">
      <c r="B13" s="8" t="s">
        <v>18</v>
      </c>
      <c r="N13" t="s">
        <v>110</v>
      </c>
      <c r="O13">
        <f>40000</f>
        <v>40000</v>
      </c>
      <c r="R13" t="s">
        <v>110</v>
      </c>
      <c r="S13">
        <f>0</f>
        <v>0</v>
      </c>
    </row>
    <row r="14" spans="1:19" x14ac:dyDescent="0.35">
      <c r="B14" s="8" t="s">
        <v>19</v>
      </c>
      <c r="N14" t="s">
        <v>111</v>
      </c>
      <c r="O14">
        <f>10</f>
        <v>10</v>
      </c>
      <c r="R14" t="s">
        <v>111</v>
      </c>
      <c r="S14">
        <f>20</f>
        <v>20</v>
      </c>
    </row>
    <row r="15" spans="1:19" x14ac:dyDescent="0.35">
      <c r="B15" s="8" t="s">
        <v>108</v>
      </c>
      <c r="N15" t="s">
        <v>121</v>
      </c>
      <c r="O15">
        <f>O13+(O14*Q11)</f>
        <v>65000</v>
      </c>
      <c r="R15" t="s">
        <v>121</v>
      </c>
      <c r="S15">
        <f>(S14*Q11)</f>
        <v>50000</v>
      </c>
    </row>
    <row r="16" spans="1:19" x14ac:dyDescent="0.35">
      <c r="B16" s="3"/>
    </row>
    <row r="17" spans="2:17" x14ac:dyDescent="0.35">
      <c r="B17" s="4" t="s">
        <v>20</v>
      </c>
    </row>
    <row r="18" spans="2:17" x14ac:dyDescent="0.35">
      <c r="B18" s="3"/>
      <c r="P18" t="s">
        <v>122</v>
      </c>
      <c r="Q18" t="str">
        <f>IF(O15&lt;S15,"BUY","MAKE")</f>
        <v>MAKE</v>
      </c>
    </row>
    <row r="19" spans="2:17" x14ac:dyDescent="0.35">
      <c r="B19" s="3"/>
    </row>
    <row r="20" spans="2:17" x14ac:dyDescent="0.35">
      <c r="B20" s="8" t="s">
        <v>21</v>
      </c>
    </row>
    <row r="21" spans="2:17" x14ac:dyDescent="0.35">
      <c r="B21" s="8" t="s">
        <v>22</v>
      </c>
    </row>
    <row r="22" spans="2:17" x14ac:dyDescent="0.35">
      <c r="B22" s="8" t="s">
        <v>27</v>
      </c>
    </row>
    <row r="23" spans="2:17" x14ac:dyDescent="0.35">
      <c r="B23" s="3"/>
    </row>
    <row r="24" spans="2:17" x14ac:dyDescent="0.35">
      <c r="B24" s="4" t="s">
        <v>23</v>
      </c>
    </row>
    <row r="25" spans="2:17" x14ac:dyDescent="0.35">
      <c r="B25" s="3"/>
    </row>
    <row r="26" spans="2:17" x14ac:dyDescent="0.35">
      <c r="B26" s="3"/>
    </row>
    <row r="27" spans="2:17" x14ac:dyDescent="0.35">
      <c r="B27" s="9" t="s">
        <v>24</v>
      </c>
    </row>
    <row r="28" spans="2:17" x14ac:dyDescent="0.35">
      <c r="B28" s="3"/>
    </row>
    <row r="29" spans="2:17" x14ac:dyDescent="0.35">
      <c r="B29" s="4" t="s">
        <v>25</v>
      </c>
    </row>
    <row r="30" spans="2:17" x14ac:dyDescent="0.35">
      <c r="B30" s="3"/>
    </row>
    <row r="31" spans="2:17" x14ac:dyDescent="0.35">
      <c r="B31" s="3"/>
    </row>
    <row r="32" spans="2:17" x14ac:dyDescent="0.35">
      <c r="B32" s="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EA69-2476-44ED-95EB-E3A4279BB9DB}">
  <dimension ref="A3:P29"/>
  <sheetViews>
    <sheetView topLeftCell="A2" zoomScale="86" workbookViewId="0">
      <selection activeCell="H21" sqref="H21"/>
    </sheetView>
  </sheetViews>
  <sheetFormatPr defaultRowHeight="14.5" x14ac:dyDescent="0.35"/>
  <cols>
    <col min="8" max="8" width="11.54296875" customWidth="1"/>
    <col min="14" max="14" width="13.7265625" customWidth="1"/>
  </cols>
  <sheetData>
    <row r="3" spans="1:16" ht="28.5" x14ac:dyDescent="0.65">
      <c r="A3" s="10" t="s">
        <v>28</v>
      </c>
    </row>
    <row r="5" spans="1:16" x14ac:dyDescent="0.35">
      <c r="A5" t="s">
        <v>29</v>
      </c>
    </row>
    <row r="7" spans="1:16" ht="17.5" x14ac:dyDescent="0.35">
      <c r="B7" s="7" t="s">
        <v>16</v>
      </c>
    </row>
    <row r="8" spans="1:16" x14ac:dyDescent="0.35">
      <c r="B8" s="3"/>
    </row>
    <row r="9" spans="1:16" x14ac:dyDescent="0.35">
      <c r="B9" s="4" t="s">
        <v>30</v>
      </c>
    </row>
    <row r="10" spans="1:16" x14ac:dyDescent="0.35">
      <c r="B10" s="3"/>
    </row>
    <row r="11" spans="1:16" x14ac:dyDescent="0.35">
      <c r="B11" s="4" t="s">
        <v>31</v>
      </c>
    </row>
    <row r="12" spans="1:16" x14ac:dyDescent="0.35">
      <c r="B12" s="3"/>
    </row>
    <row r="13" spans="1:16" x14ac:dyDescent="0.35">
      <c r="B13" s="3"/>
      <c r="G13" t="s">
        <v>123</v>
      </c>
      <c r="I13" t="s">
        <v>126</v>
      </c>
      <c r="L13" t="s">
        <v>129</v>
      </c>
      <c r="O13" t="s">
        <v>115</v>
      </c>
    </row>
    <row r="14" spans="1:16" x14ac:dyDescent="0.35">
      <c r="B14" s="8" t="s">
        <v>32</v>
      </c>
      <c r="F14" t="s">
        <v>124</v>
      </c>
      <c r="G14">
        <f>5</f>
        <v>5</v>
      </c>
      <c r="I14" t="s">
        <v>127</v>
      </c>
      <c r="J14">
        <f>10</f>
        <v>10</v>
      </c>
      <c r="L14" t="s">
        <v>124</v>
      </c>
      <c r="M14" t="s">
        <v>130</v>
      </c>
      <c r="O14" t="s">
        <v>124</v>
      </c>
      <c r="P14">
        <v>2</v>
      </c>
    </row>
    <row r="15" spans="1:16" x14ac:dyDescent="0.35">
      <c r="B15" s="11" t="s">
        <v>33</v>
      </c>
      <c r="F15" t="s">
        <v>125</v>
      </c>
      <c r="G15">
        <f>3</f>
        <v>3</v>
      </c>
      <c r="I15" t="s">
        <v>128</v>
      </c>
      <c r="J15">
        <f>8</f>
        <v>8</v>
      </c>
      <c r="L15" t="s">
        <v>125</v>
      </c>
      <c r="M15" t="s">
        <v>131</v>
      </c>
      <c r="O15" t="s">
        <v>125</v>
      </c>
      <c r="P15">
        <v>6</v>
      </c>
    </row>
    <row r="16" spans="1:16" x14ac:dyDescent="0.35">
      <c r="B16" s="11" t="s">
        <v>34</v>
      </c>
    </row>
    <row r="17" spans="2:14" x14ac:dyDescent="0.35">
      <c r="B17" s="8" t="s">
        <v>35</v>
      </c>
      <c r="L17" t="s">
        <v>132</v>
      </c>
    </row>
    <row r="18" spans="2:14" x14ac:dyDescent="0.35">
      <c r="B18" s="11" t="s">
        <v>36</v>
      </c>
      <c r="H18" t="s">
        <v>118</v>
      </c>
      <c r="L18" t="s">
        <v>124</v>
      </c>
      <c r="M18">
        <f>2*P14+1*P15</f>
        <v>10</v>
      </c>
      <c r="N18" t="s">
        <v>133</v>
      </c>
    </row>
    <row r="19" spans="2:14" x14ac:dyDescent="0.35">
      <c r="B19" s="11" t="s">
        <v>37</v>
      </c>
      <c r="H19">
        <f>G14*P14+G15*P15</f>
        <v>28</v>
      </c>
      <c r="L19" t="s">
        <v>125</v>
      </c>
      <c r="M19">
        <f>1*P14+1*P15</f>
        <v>8</v>
      </c>
      <c r="N19" t="s">
        <v>134</v>
      </c>
    </row>
    <row r="20" spans="2:14" x14ac:dyDescent="0.35">
      <c r="B20" s="8" t="s">
        <v>38</v>
      </c>
      <c r="H20" t="s">
        <v>135</v>
      </c>
    </row>
    <row r="21" spans="2:14" x14ac:dyDescent="0.35">
      <c r="B21" s="11" t="s">
        <v>39</v>
      </c>
    </row>
    <row r="22" spans="2:14" x14ac:dyDescent="0.35">
      <c r="B22" s="11" t="s">
        <v>40</v>
      </c>
    </row>
    <row r="23" spans="2:14" x14ac:dyDescent="0.35">
      <c r="B23" s="3"/>
    </row>
    <row r="24" spans="2:14" x14ac:dyDescent="0.35">
      <c r="B24" s="4" t="s">
        <v>41</v>
      </c>
    </row>
    <row r="25" spans="2:14" x14ac:dyDescent="0.35">
      <c r="B25" s="3"/>
    </row>
    <row r="26" spans="2:14" x14ac:dyDescent="0.35">
      <c r="B26" s="3"/>
    </row>
    <row r="27" spans="2:14" x14ac:dyDescent="0.35">
      <c r="B27" s="9" t="s">
        <v>42</v>
      </c>
    </row>
    <row r="28" spans="2:14" x14ac:dyDescent="0.35">
      <c r="B28" s="9" t="s">
        <v>43</v>
      </c>
    </row>
    <row r="29" spans="2:14" x14ac:dyDescent="0.35">
      <c r="B29" s="9"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97A6F-3B54-45A4-B5C9-DA263930CB83}">
  <dimension ref="A3:S37"/>
  <sheetViews>
    <sheetView topLeftCell="A2" zoomScale="70" zoomScaleNormal="100" workbookViewId="0">
      <selection activeCell="J21" sqref="J21"/>
    </sheetView>
  </sheetViews>
  <sheetFormatPr defaultRowHeight="14.5" x14ac:dyDescent="0.35"/>
  <cols>
    <col min="16" max="16" width="14" customWidth="1"/>
  </cols>
  <sheetData>
    <row r="3" spans="1:19" ht="26" x14ac:dyDescent="0.6">
      <c r="A3" s="6" t="s">
        <v>45</v>
      </c>
    </row>
    <row r="5" spans="1:19" x14ac:dyDescent="0.35">
      <c r="A5" t="s">
        <v>46</v>
      </c>
    </row>
    <row r="7" spans="1:19" ht="17.5" x14ac:dyDescent="0.35">
      <c r="B7" s="7" t="s">
        <v>16</v>
      </c>
    </row>
    <row r="8" spans="1:19" x14ac:dyDescent="0.35">
      <c r="B8" s="3"/>
    </row>
    <row r="9" spans="1:19" x14ac:dyDescent="0.35">
      <c r="B9" s="4" t="s">
        <v>47</v>
      </c>
    </row>
    <row r="10" spans="1:19" x14ac:dyDescent="0.35">
      <c r="B10" s="3"/>
    </row>
    <row r="11" spans="1:19" x14ac:dyDescent="0.35">
      <c r="B11" s="4" t="s">
        <v>31</v>
      </c>
      <c r="O11" t="s">
        <v>145</v>
      </c>
    </row>
    <row r="12" spans="1:19" x14ac:dyDescent="0.35">
      <c r="B12" s="3"/>
      <c r="O12" t="s">
        <v>146</v>
      </c>
    </row>
    <row r="13" spans="1:19" x14ac:dyDescent="0.35">
      <c r="B13" s="3"/>
      <c r="H13" t="s">
        <v>138</v>
      </c>
      <c r="L13" t="s">
        <v>140</v>
      </c>
      <c r="O13" t="s">
        <v>142</v>
      </c>
      <c r="R13" t="s">
        <v>115</v>
      </c>
    </row>
    <row r="14" spans="1:19" x14ac:dyDescent="0.35">
      <c r="B14" s="8" t="s">
        <v>48</v>
      </c>
      <c r="H14" t="s">
        <v>137</v>
      </c>
      <c r="J14">
        <f>4</f>
        <v>4</v>
      </c>
      <c r="L14" t="s">
        <v>136</v>
      </c>
      <c r="M14">
        <f>20</f>
        <v>20</v>
      </c>
      <c r="O14" t="s">
        <v>137</v>
      </c>
      <c r="P14" t="s">
        <v>144</v>
      </c>
      <c r="R14" t="s">
        <v>136</v>
      </c>
      <c r="S14">
        <v>10</v>
      </c>
    </row>
    <row r="15" spans="1:19" x14ac:dyDescent="0.35">
      <c r="B15" s="11" t="s">
        <v>49</v>
      </c>
      <c r="H15" t="s">
        <v>139</v>
      </c>
      <c r="J15">
        <f>5</f>
        <v>5</v>
      </c>
      <c r="L15" t="s">
        <v>141</v>
      </c>
      <c r="M15">
        <f>15</f>
        <v>15</v>
      </c>
      <c r="O15" t="s">
        <v>139</v>
      </c>
      <c r="P15" t="s">
        <v>147</v>
      </c>
      <c r="R15" t="s">
        <v>141</v>
      </c>
      <c r="S15">
        <v>5</v>
      </c>
    </row>
    <row r="16" spans="1:19" x14ac:dyDescent="0.35">
      <c r="B16" s="11" t="s">
        <v>50</v>
      </c>
    </row>
    <row r="17" spans="2:17" x14ac:dyDescent="0.35">
      <c r="B17" s="8" t="s">
        <v>35</v>
      </c>
    </row>
    <row r="18" spans="2:17" x14ac:dyDescent="0.35">
      <c r="B18" s="11" t="s">
        <v>51</v>
      </c>
      <c r="O18" t="s">
        <v>143</v>
      </c>
    </row>
    <row r="19" spans="2:17" x14ac:dyDescent="0.35">
      <c r="B19" s="11" t="s">
        <v>52</v>
      </c>
      <c r="O19" t="s">
        <v>136</v>
      </c>
      <c r="P19">
        <f>2*S14</f>
        <v>20</v>
      </c>
      <c r="Q19" t="s">
        <v>148</v>
      </c>
    </row>
    <row r="20" spans="2:17" x14ac:dyDescent="0.35">
      <c r="B20" s="8" t="s">
        <v>53</v>
      </c>
      <c r="I20" t="s">
        <v>118</v>
      </c>
      <c r="J20">
        <f>J14*S14+J15*S15</f>
        <v>65</v>
      </c>
      <c r="O20" t="s">
        <v>141</v>
      </c>
      <c r="P20">
        <f>3*S15</f>
        <v>15</v>
      </c>
      <c r="Q20" t="s">
        <v>149</v>
      </c>
    </row>
    <row r="21" spans="2:17" x14ac:dyDescent="0.35">
      <c r="B21" s="11" t="s">
        <v>54</v>
      </c>
    </row>
    <row r="22" spans="2:17" x14ac:dyDescent="0.35">
      <c r="B22" s="11" t="s">
        <v>55</v>
      </c>
    </row>
    <row r="23" spans="2:17" x14ac:dyDescent="0.35">
      <c r="B23" s="3"/>
    </row>
    <row r="24" spans="2:17" x14ac:dyDescent="0.35">
      <c r="B24" s="4" t="s">
        <v>41</v>
      </c>
    </row>
    <row r="25" spans="2:17" x14ac:dyDescent="0.35">
      <c r="B25" s="3"/>
    </row>
    <row r="26" spans="2:17" x14ac:dyDescent="0.35">
      <c r="B26" s="3"/>
    </row>
    <row r="27" spans="2:17" x14ac:dyDescent="0.35">
      <c r="B27" s="9" t="s">
        <v>56</v>
      </c>
    </row>
    <row r="28" spans="2:17" x14ac:dyDescent="0.35">
      <c r="B28" s="9" t="s">
        <v>57</v>
      </c>
    </row>
    <row r="29" spans="2:17" x14ac:dyDescent="0.35">
      <c r="B29" s="9" t="s">
        <v>58</v>
      </c>
    </row>
    <row r="30" spans="2:17" x14ac:dyDescent="0.35">
      <c r="B30" s="3"/>
    </row>
    <row r="31" spans="2:17" x14ac:dyDescent="0.35">
      <c r="B31" s="4" t="s">
        <v>59</v>
      </c>
    </row>
    <row r="32" spans="2:17" x14ac:dyDescent="0.35">
      <c r="B32" s="3"/>
    </row>
    <row r="33" spans="2:2" x14ac:dyDescent="0.35">
      <c r="B33" s="3"/>
    </row>
    <row r="34" spans="2:2" x14ac:dyDescent="0.35">
      <c r="B34" s="8" t="s">
        <v>60</v>
      </c>
    </row>
    <row r="35" spans="2:2" x14ac:dyDescent="0.35">
      <c r="B35" s="9" t="s">
        <v>61</v>
      </c>
    </row>
    <row r="36" spans="2:2" x14ac:dyDescent="0.35">
      <c r="B36" s="8" t="s">
        <v>62</v>
      </c>
    </row>
    <row r="37" spans="2:2" x14ac:dyDescent="0.35">
      <c r="B37" s="9"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45D8-D1B8-413E-AFA9-54C9738D7A75}">
  <dimension ref="A2:N27"/>
  <sheetViews>
    <sheetView zoomScale="92" workbookViewId="0">
      <selection activeCell="L20" sqref="L20"/>
    </sheetView>
  </sheetViews>
  <sheetFormatPr defaultRowHeight="14.5" x14ac:dyDescent="0.35"/>
  <cols>
    <col min="13" max="13" width="12.7265625" bestFit="1" customWidth="1"/>
  </cols>
  <sheetData>
    <row r="2" spans="1:14" x14ac:dyDescent="0.35">
      <c r="A2" t="s">
        <v>64</v>
      </c>
    </row>
    <row r="5" spans="1:14" x14ac:dyDescent="0.35">
      <c r="A5" t="s">
        <v>65</v>
      </c>
    </row>
    <row r="7" spans="1:14" ht="17.5" x14ac:dyDescent="0.35">
      <c r="B7" s="7" t="s">
        <v>16</v>
      </c>
    </row>
    <row r="8" spans="1:14" x14ac:dyDescent="0.35">
      <c r="B8" s="3"/>
    </row>
    <row r="9" spans="1:14" x14ac:dyDescent="0.35">
      <c r="B9" s="4" t="s">
        <v>66</v>
      </c>
    </row>
    <row r="10" spans="1:14" x14ac:dyDescent="0.35">
      <c r="B10" s="3"/>
    </row>
    <row r="11" spans="1:14" x14ac:dyDescent="0.35">
      <c r="B11" s="4" t="s">
        <v>31</v>
      </c>
    </row>
    <row r="12" spans="1:14" x14ac:dyDescent="0.35">
      <c r="B12" s="3"/>
      <c r="L12" t="s">
        <v>115</v>
      </c>
      <c r="M12">
        <v>500</v>
      </c>
    </row>
    <row r="13" spans="1:14" x14ac:dyDescent="0.35">
      <c r="B13" s="3"/>
    </row>
    <row r="14" spans="1:14" x14ac:dyDescent="0.35">
      <c r="B14" s="9"/>
      <c r="J14" t="s">
        <v>110</v>
      </c>
      <c r="K14">
        <f>2000</f>
        <v>2000</v>
      </c>
      <c r="M14" t="s">
        <v>113</v>
      </c>
      <c r="N14">
        <f>K16*M12</f>
        <v>2500</v>
      </c>
    </row>
    <row r="15" spans="1:14" x14ac:dyDescent="0.35">
      <c r="B15" s="8" t="s">
        <v>67</v>
      </c>
      <c r="J15" t="s">
        <v>111</v>
      </c>
      <c r="K15">
        <f>1</f>
        <v>1</v>
      </c>
      <c r="M15" t="s">
        <v>114</v>
      </c>
      <c r="N15">
        <f>K14+(K15*M12)</f>
        <v>2500</v>
      </c>
    </row>
    <row r="16" spans="1:14" x14ac:dyDescent="0.35">
      <c r="B16" s="9" t="s">
        <v>68</v>
      </c>
      <c r="J16" t="s">
        <v>112</v>
      </c>
      <c r="K16">
        <f>5</f>
        <v>5</v>
      </c>
    </row>
    <row r="17" spans="2:12" x14ac:dyDescent="0.35">
      <c r="B17" s="9" t="s">
        <v>69</v>
      </c>
    </row>
    <row r="18" spans="2:12" x14ac:dyDescent="0.35">
      <c r="B18" s="9" t="s">
        <v>70</v>
      </c>
      <c r="L18" t="s">
        <v>116</v>
      </c>
    </row>
    <row r="19" spans="2:12" x14ac:dyDescent="0.35">
      <c r="B19" s="9"/>
      <c r="L19">
        <f>N14-N15</f>
        <v>0</v>
      </c>
    </row>
    <row r="20" spans="2:12" x14ac:dyDescent="0.35">
      <c r="B20" s="8" t="s">
        <v>71</v>
      </c>
    </row>
    <row r="21" spans="2:12" x14ac:dyDescent="0.35">
      <c r="B21" s="9" t="s">
        <v>72</v>
      </c>
    </row>
    <row r="22" spans="2:12" x14ac:dyDescent="0.35">
      <c r="B22" s="9" t="s">
        <v>73</v>
      </c>
    </row>
    <row r="23" spans="2:12" x14ac:dyDescent="0.35">
      <c r="B23" s="9" t="s">
        <v>74</v>
      </c>
    </row>
    <row r="24" spans="2:12" x14ac:dyDescent="0.35">
      <c r="B24" s="9"/>
    </row>
    <row r="25" spans="2:12" x14ac:dyDescent="0.35">
      <c r="B25" s="8" t="s">
        <v>75</v>
      </c>
    </row>
    <row r="26" spans="2:12" x14ac:dyDescent="0.35">
      <c r="B26" s="9" t="s">
        <v>76</v>
      </c>
    </row>
    <row r="27" spans="2:12" x14ac:dyDescent="0.35">
      <c r="B27" s="9" t="s">
        <v>77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2449-6C53-4F1D-AD14-A205ACC979B4}">
  <dimension ref="A2:W17"/>
  <sheetViews>
    <sheetView zoomScale="81" workbookViewId="0">
      <selection activeCell="T14" sqref="T14"/>
    </sheetView>
  </sheetViews>
  <sheetFormatPr defaultRowHeight="14.5" x14ac:dyDescent="0.35"/>
  <cols>
    <col min="21" max="21" width="9.81640625" customWidth="1"/>
  </cols>
  <sheetData>
    <row r="2" spans="1:23" x14ac:dyDescent="0.35">
      <c r="A2" t="s">
        <v>78</v>
      </c>
    </row>
    <row r="4" spans="1:23" x14ac:dyDescent="0.35">
      <c r="A4" t="s">
        <v>79</v>
      </c>
    </row>
    <row r="5" spans="1:23" x14ac:dyDescent="0.35">
      <c r="U5" t="s">
        <v>115</v>
      </c>
      <c r="V5">
        <v>133.33333333333334</v>
      </c>
    </row>
    <row r="6" spans="1:23" ht="17.5" x14ac:dyDescent="0.35">
      <c r="A6" s="7" t="s">
        <v>16</v>
      </c>
    </row>
    <row r="7" spans="1:23" x14ac:dyDescent="0.35">
      <c r="A7" s="3"/>
      <c r="S7" t="s">
        <v>110</v>
      </c>
      <c r="T7">
        <f>20000</f>
        <v>20000</v>
      </c>
      <c r="V7" t="s">
        <v>113</v>
      </c>
      <c r="W7">
        <f>T9*V5</f>
        <v>40000</v>
      </c>
    </row>
    <row r="8" spans="1:23" x14ac:dyDescent="0.35">
      <c r="A8" s="4" t="s">
        <v>67</v>
      </c>
      <c r="S8" t="s">
        <v>111</v>
      </c>
      <c r="T8">
        <f>150</f>
        <v>150</v>
      </c>
      <c r="V8" t="s">
        <v>117</v>
      </c>
      <c r="W8">
        <f>T7+(T8*V5)</f>
        <v>40000</v>
      </c>
    </row>
    <row r="9" spans="1:23" x14ac:dyDescent="0.35">
      <c r="A9" s="3" t="s">
        <v>80</v>
      </c>
      <c r="S9" t="s">
        <v>112</v>
      </c>
      <c r="T9">
        <f>300</f>
        <v>300</v>
      </c>
    </row>
    <row r="10" spans="1:23" x14ac:dyDescent="0.35">
      <c r="A10" s="4" t="s">
        <v>81</v>
      </c>
    </row>
    <row r="11" spans="1:23" x14ac:dyDescent="0.35">
      <c r="A11" s="3"/>
      <c r="S11">
        <v>0</v>
      </c>
    </row>
    <row r="12" spans="1:23" x14ac:dyDescent="0.35">
      <c r="A12" s="4" t="s">
        <v>82</v>
      </c>
      <c r="T12" t="s">
        <v>116</v>
      </c>
    </row>
    <row r="13" spans="1:23" x14ac:dyDescent="0.35">
      <c r="A13" s="3" t="s">
        <v>83</v>
      </c>
      <c r="T13">
        <f>W7-W8</f>
        <v>0</v>
      </c>
    </row>
    <row r="14" spans="1:23" x14ac:dyDescent="0.35">
      <c r="A14" s="4" t="s">
        <v>84</v>
      </c>
    </row>
    <row r="15" spans="1:23" x14ac:dyDescent="0.35">
      <c r="A15" s="3"/>
    </row>
    <row r="16" spans="1:23" x14ac:dyDescent="0.35">
      <c r="A16" s="4" t="s">
        <v>85</v>
      </c>
    </row>
    <row r="17" spans="1:1" x14ac:dyDescent="0.35">
      <c r="A17" s="3" t="s">
        <v>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D41A8-B503-4758-ACA7-8785276A00F1}">
  <dimension ref="A1:R16"/>
  <sheetViews>
    <sheetView tabSelected="1" zoomScale="77" workbookViewId="0">
      <selection activeCell="Q13" sqref="Q13"/>
    </sheetView>
  </sheetViews>
  <sheetFormatPr defaultRowHeight="14.5" x14ac:dyDescent="0.35"/>
  <cols>
    <col min="3" max="3" width="18" customWidth="1"/>
    <col min="9" max="9" width="10.81640625" customWidth="1"/>
  </cols>
  <sheetData>
    <row r="1" spans="1:18" ht="22" x14ac:dyDescent="0.35">
      <c r="A1" s="13" t="s">
        <v>99</v>
      </c>
    </row>
    <row r="2" spans="1:18" ht="22" x14ac:dyDescent="0.35">
      <c r="A2" s="13" t="s">
        <v>100</v>
      </c>
    </row>
    <row r="3" spans="1:18" ht="22" x14ac:dyDescent="0.35">
      <c r="A3" s="13" t="s">
        <v>101</v>
      </c>
    </row>
    <row r="4" spans="1:18" ht="22" x14ac:dyDescent="0.35">
      <c r="A4" s="13" t="s">
        <v>102</v>
      </c>
    </row>
    <row r="5" spans="1:18" ht="22" x14ac:dyDescent="0.35">
      <c r="A5" s="13" t="s">
        <v>103</v>
      </c>
    </row>
    <row r="6" spans="1:18" ht="22" x14ac:dyDescent="0.35">
      <c r="A6" s="13" t="s">
        <v>104</v>
      </c>
      <c r="P6" t="s">
        <v>150</v>
      </c>
      <c r="Q6">
        <v>522.2413788587246</v>
      </c>
    </row>
    <row r="7" spans="1:18" x14ac:dyDescent="0.35">
      <c r="P7" t="s">
        <v>110</v>
      </c>
      <c r="Q7">
        <f>5000</f>
        <v>5000</v>
      </c>
    </row>
    <row r="8" spans="1:18" x14ac:dyDescent="0.35">
      <c r="P8" t="s">
        <v>152</v>
      </c>
      <c r="Q8">
        <f>Q7+(10*Q11)</f>
        <v>19855.000013096986</v>
      </c>
      <c r="R8" t="s">
        <v>114</v>
      </c>
    </row>
    <row r="9" spans="1:18" ht="18.5" x14ac:dyDescent="0.35">
      <c r="C9" s="14" t="s">
        <v>105</v>
      </c>
    </row>
    <row r="10" spans="1:18" ht="18.5" x14ac:dyDescent="0.35">
      <c r="C10" s="14" t="s">
        <v>106</v>
      </c>
    </row>
    <row r="11" spans="1:18" ht="19" thickBot="1" x14ac:dyDescent="0.4">
      <c r="C11" s="14" t="s">
        <v>107</v>
      </c>
      <c r="P11" t="s">
        <v>151</v>
      </c>
      <c r="Q11">
        <f>-2.9*(Q6)+3000</f>
        <v>1485.5000013096987</v>
      </c>
      <c r="R11" t="s">
        <v>154</v>
      </c>
    </row>
    <row r="12" spans="1:18" ht="39" customHeight="1" thickBot="1" x14ac:dyDescent="0.4">
      <c r="C12" s="16" t="s">
        <v>153</v>
      </c>
      <c r="D12" s="15"/>
      <c r="P12" t="s">
        <v>118</v>
      </c>
      <c r="Q12">
        <f>(Q6-10)*Q11</f>
        <v>760934.56896551733</v>
      </c>
      <c r="R12" t="s">
        <v>155</v>
      </c>
    </row>
    <row r="16" spans="1:18" ht="24.5" customHeight="1"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1901-0FA3-4C15-B402-8E07DE842CBA}">
  <dimension ref="B5:B30"/>
  <sheetViews>
    <sheetView zoomScale="88" workbookViewId="0">
      <selection activeCell="I7" sqref="I7"/>
    </sheetView>
  </sheetViews>
  <sheetFormatPr defaultRowHeight="14.5" x14ac:dyDescent="0.35"/>
  <sheetData>
    <row r="5" spans="2:2" x14ac:dyDescent="0.35">
      <c r="B5" t="s">
        <v>90</v>
      </c>
    </row>
    <row r="8" spans="2:2" ht="17.5" x14ac:dyDescent="0.35">
      <c r="B8" s="7" t="s">
        <v>87</v>
      </c>
    </row>
    <row r="9" spans="2:2" x14ac:dyDescent="0.35">
      <c r="B9" s="3"/>
    </row>
    <row r="10" spans="2:2" x14ac:dyDescent="0.35">
      <c r="B10" s="4" t="s">
        <v>91</v>
      </c>
    </row>
    <row r="11" spans="2:2" x14ac:dyDescent="0.35">
      <c r="B11" s="4" t="s">
        <v>92</v>
      </c>
    </row>
    <row r="12" spans="2:2" x14ac:dyDescent="0.35">
      <c r="B12" s="3" t="s">
        <v>109</v>
      </c>
    </row>
    <row r="14" spans="2:2" ht="15.5" x14ac:dyDescent="0.35">
      <c r="B14" s="12" t="s">
        <v>88</v>
      </c>
    </row>
    <row r="16" spans="2:2" x14ac:dyDescent="0.35">
      <c r="B16" t="s">
        <v>93</v>
      </c>
    </row>
    <row r="20" spans="2:2" ht="17.5" x14ac:dyDescent="0.35">
      <c r="B20" s="7" t="s">
        <v>89</v>
      </c>
    </row>
    <row r="21" spans="2:2" x14ac:dyDescent="0.35">
      <c r="B21" s="3"/>
    </row>
    <row r="22" spans="2:2" x14ac:dyDescent="0.35">
      <c r="B22" s="3" t="s">
        <v>94</v>
      </c>
    </row>
    <row r="23" spans="2:2" x14ac:dyDescent="0.35">
      <c r="B23" s="3" t="s">
        <v>95</v>
      </c>
    </row>
    <row r="24" spans="2:2" x14ac:dyDescent="0.35">
      <c r="B24" s="3" t="s">
        <v>96</v>
      </c>
    </row>
    <row r="28" spans="2:2" ht="17.5" x14ac:dyDescent="0.35">
      <c r="B28" s="7" t="s">
        <v>97</v>
      </c>
    </row>
    <row r="30" spans="2:2" x14ac:dyDescent="0.35">
      <c r="B30"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MAKE OR BUY MODEL -1</vt:lpstr>
      <vt:lpstr>MAKE OR BUY MODEL - 2</vt:lpstr>
      <vt:lpstr>MATHEMATICAL MODELLING-1</vt:lpstr>
      <vt:lpstr>MATHEMATICAL MODELLING -2</vt:lpstr>
      <vt:lpstr>BREAK EVEN  ANALYSIS - 1</vt:lpstr>
      <vt:lpstr>BREAK EVEN ANALYSIS-2</vt:lpstr>
      <vt:lpstr>Prescriptive analysis-1</vt:lpstr>
      <vt:lpstr>Prescriptive analysis-2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Rakshitha K V</cp:lastModifiedBy>
  <dcterms:created xsi:type="dcterms:W3CDTF">2025-01-15T17:29:19Z</dcterms:created>
  <dcterms:modified xsi:type="dcterms:W3CDTF">2026-04-25T05:38:56Z</dcterms:modified>
</cp:coreProperties>
</file>