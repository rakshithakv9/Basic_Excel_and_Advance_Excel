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kshitha K V\Downloads\"/>
    </mc:Choice>
  </mc:AlternateContent>
  <xr:revisionPtr revIDLastSave="0" documentId="13_ncr:1_{8EEE5031-820B-40CE-9F14-0DDA49B6E0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oal Seek" sheetId="1" r:id="rId1"/>
    <sheet name="Tas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+7NRn+lSeYYaRnaIGHPqaPrQOQ0gs6EnauhtMdgNFt8="/>
    </ext>
  </extLst>
</workbook>
</file>

<file path=xl/calcChain.xml><?xml version="1.0" encoding="utf-8"?>
<calcChain xmlns="http://schemas.openxmlformats.org/spreadsheetml/2006/main">
  <c r="D24" i="1" l="1"/>
  <c r="D45" i="1"/>
  <c r="D46" i="1" s="1"/>
  <c r="D43" i="1"/>
  <c r="D42" i="1"/>
  <c r="D41" i="1"/>
  <c r="D35" i="1"/>
  <c r="D34" i="1"/>
  <c r="D32" i="1"/>
  <c r="D25" i="1"/>
  <c r="D23" i="1"/>
  <c r="D21" i="1"/>
  <c r="D20" i="1"/>
  <c r="D19" i="1"/>
  <c r="D18" i="1"/>
  <c r="D13" i="1"/>
  <c r="D14" i="1"/>
  <c r="D11" i="1"/>
</calcChain>
</file>

<file path=xl/sharedStrings.xml><?xml version="1.0" encoding="utf-8"?>
<sst xmlns="http://schemas.openxmlformats.org/spreadsheetml/2006/main" count="44" uniqueCount="44">
  <si>
    <t>Your target is to achieve sales of 1000000. Determine the units to be sold to achieve your target.</t>
  </si>
  <si>
    <t>Product Price</t>
  </si>
  <si>
    <t>Units to sell</t>
  </si>
  <si>
    <t>Total sales</t>
  </si>
  <si>
    <t>Sales = price*No. of units</t>
  </si>
  <si>
    <t>Target sales</t>
  </si>
  <si>
    <t>A student has taken 4 exams, and their average score is currently 76 and have one more exam left and want to achieve a final average of 80.</t>
  </si>
  <si>
    <t>Exam 1 Score</t>
  </si>
  <si>
    <t>Exam 2 Score</t>
  </si>
  <si>
    <t>Exam 3 Score</t>
  </si>
  <si>
    <t>Exam 4 Score</t>
  </si>
  <si>
    <t xml:space="preserve">Exam 5 Score </t>
  </si>
  <si>
    <t>Current Average</t>
  </si>
  <si>
    <t>Final Target Average</t>
  </si>
  <si>
    <t>Formula for Final Average</t>
  </si>
  <si>
    <t>Find the loan amount to get the desired monthly payment for a given interest rate</t>
  </si>
  <si>
    <t>PMT(int rate/12,nper,-pv)</t>
  </si>
  <si>
    <t>PMT()</t>
  </si>
  <si>
    <t>to calculate the monthly payment (EMI)</t>
  </si>
  <si>
    <t>Interest Rate</t>
  </si>
  <si>
    <t>Rate</t>
  </si>
  <si>
    <t>Interest rate per period (monthly rate for loans)</t>
  </si>
  <si>
    <t>Loan Amount</t>
  </si>
  <si>
    <t>nper</t>
  </si>
  <si>
    <t>Number of total periods (loan tenure in months)</t>
  </si>
  <si>
    <t>Loan Term</t>
  </si>
  <si>
    <t>pv</t>
  </si>
  <si>
    <t>Present Value (Loan amount)</t>
  </si>
  <si>
    <t>EMI</t>
  </si>
  <si>
    <t>Target EMI</t>
  </si>
  <si>
    <t>Finding the Required Number of Employees to Complete a Project on Time</t>
  </si>
  <si>
    <t>Current Employees</t>
  </si>
  <si>
    <t>Estimated Days to Complete (Current Team)</t>
  </si>
  <si>
    <t>Target time to complete</t>
  </si>
  <si>
    <t xml:space="preserve">Additional Employees Needed </t>
  </si>
  <si>
    <t>Formula for Total Employees</t>
  </si>
  <si>
    <t>Formula for New Completion Time</t>
  </si>
  <si>
    <t>time=estimated time*(current emp/total emp)</t>
  </si>
  <si>
    <t>Finding the Required Body Weight to Reach a Target BMI (22)</t>
  </si>
  <si>
    <t>Height (m)</t>
  </si>
  <si>
    <t>Weight (kg)</t>
  </si>
  <si>
    <t>Target BMI</t>
  </si>
  <si>
    <t>BMI Formula</t>
  </si>
  <si>
    <t>BMI=weight/(height^2)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</si>
</sst>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6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444444"/>
      <name val="Calibri"/>
    </font>
    <font>
      <sz val="10"/>
      <color theme="1"/>
      <name val="Arimo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" fontId="2" fillId="2" borderId="1" xfId="0" applyNumberFormat="1" applyFont="1" applyFill="1" applyBorder="1" applyAlignment="1">
      <alignment vertical="center"/>
    </xf>
    <xf numFmtId="0" fontId="3" fillId="3" borderId="1" xfId="0" applyFont="1" applyFill="1" applyBorder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" fontId="3" fillId="0" borderId="0" xfId="0" applyNumberFormat="1" applyFont="1" applyAlignment="1">
      <alignment vertical="center" wrapText="1"/>
    </xf>
    <xf numFmtId="1" fontId="3" fillId="2" borderId="1" xfId="0" applyNumberFormat="1" applyFont="1" applyFill="1" applyBorder="1" applyAlignment="1">
      <alignment vertical="center" wrapText="1"/>
    </xf>
    <xf numFmtId="1" fontId="3" fillId="3" borderId="1" xfId="0" applyNumberFormat="1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2" fillId="0" borderId="0" xfId="0" applyFont="1"/>
    <xf numFmtId="9" fontId="3" fillId="0" borderId="0" xfId="0" applyNumberFormat="1" applyFont="1"/>
    <xf numFmtId="1" fontId="5" fillId="0" borderId="0" xfId="0" applyNumberFormat="1" applyFont="1" applyAlignment="1">
      <alignment vertical="center" wrapText="1"/>
    </xf>
    <xf numFmtId="1" fontId="5" fillId="2" borderId="1" xfId="0" applyNumberFormat="1" applyFont="1" applyFill="1" applyBorder="1" applyAlignment="1">
      <alignment vertical="center" wrapText="1"/>
    </xf>
    <xf numFmtId="1" fontId="5" fillId="3" borderId="1" xfId="0" applyNumberFormat="1" applyFont="1" applyFill="1" applyBorder="1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1" fontId="3" fillId="2" borderId="1" xfId="0" applyNumberFormat="1" applyFont="1" applyFill="1" applyBorder="1" applyAlignment="1">
      <alignment vertical="center"/>
    </xf>
    <xf numFmtId="2" fontId="3" fillId="3" borderId="1" xfId="0" applyNumberFormat="1" applyFont="1" applyFill="1" applyBorder="1" applyAlignment="1">
      <alignment vertical="center" wrapText="1"/>
    </xf>
    <xf numFmtId="8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466725</xdr:colOff>
      <xdr:row>1</xdr:row>
      <xdr:rowOff>9525</xdr:rowOff>
    </xdr:from>
    <xdr:ext cx="8105775" cy="11620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97875" y="3203738"/>
          <a:ext cx="8096250" cy="11525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Goal Seek Analysis </a:t>
          </a: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is a powerful what-if analysis tool in Excel that helps users determine the necessary input value to achieve a desired output. It is particularly useful when working with formulas where the output depends on one variable.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Instead of manually adjusting inputs to reach a target result, Goal Seek automates this process by iterating through possible values until it finds the correct input that produces the desired output.</a:t>
          </a:r>
          <a:endParaRPr sz="1100" b="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9:L1000"/>
  <sheetViews>
    <sheetView tabSelected="1" topLeftCell="A28" workbookViewId="0">
      <selection activeCell="D25" sqref="D25"/>
    </sheetView>
  </sheetViews>
  <sheetFormatPr defaultColWidth="14.453125" defaultRowHeight="15" customHeight="1"/>
  <cols>
    <col min="1" max="2" width="8.7265625" customWidth="1"/>
    <col min="3" max="3" width="31.7265625" customWidth="1"/>
    <col min="4" max="4" width="15.81640625" customWidth="1"/>
    <col min="5" max="26" width="8.7265625" customWidth="1"/>
  </cols>
  <sheetData>
    <row r="9" spans="2:10" ht="14.5">
      <c r="B9" s="1">
        <v>1</v>
      </c>
      <c r="C9" s="1" t="s">
        <v>0</v>
      </c>
    </row>
    <row r="11" spans="2:10" ht="14.5">
      <c r="C11" s="1" t="s">
        <v>1</v>
      </c>
      <c r="D11">
        <f>250</f>
        <v>250</v>
      </c>
    </row>
    <row r="12" spans="2:10" ht="14.5">
      <c r="C12" s="1" t="s">
        <v>2</v>
      </c>
      <c r="D12" s="2">
        <v>4000</v>
      </c>
    </row>
    <row r="13" spans="2:10" ht="14.5">
      <c r="C13" s="1" t="s">
        <v>3</v>
      </c>
      <c r="D13" s="3">
        <f>D11*D12</f>
        <v>1000000</v>
      </c>
      <c r="J13" s="1" t="s">
        <v>4</v>
      </c>
    </row>
    <row r="14" spans="2:10" ht="14.5">
      <c r="C14" s="1" t="s">
        <v>5</v>
      </c>
      <c r="D14">
        <f>1000000</f>
        <v>1000000</v>
      </c>
    </row>
    <row r="16" spans="2:10" ht="14.5">
      <c r="B16" s="1">
        <v>2</v>
      </c>
      <c r="C16" s="1" t="s">
        <v>6</v>
      </c>
    </row>
    <row r="17" spans="2:12" ht="14.5">
      <c r="C17" s="4"/>
      <c r="D17" s="4"/>
    </row>
    <row r="18" spans="2:12" ht="14.5">
      <c r="C18" s="5" t="s">
        <v>7</v>
      </c>
      <c r="D18" s="6">
        <f>76</f>
        <v>76</v>
      </c>
    </row>
    <row r="19" spans="2:12" ht="14.5">
      <c r="C19" s="5" t="s">
        <v>8</v>
      </c>
      <c r="D19" s="6">
        <f>76</f>
        <v>76</v>
      </c>
    </row>
    <row r="20" spans="2:12" ht="14.5">
      <c r="C20" s="5" t="s">
        <v>9</v>
      </c>
      <c r="D20" s="6">
        <f>76</f>
        <v>76</v>
      </c>
    </row>
    <row r="21" spans="2:12" ht="15.75" customHeight="1">
      <c r="C21" s="5" t="s">
        <v>10</v>
      </c>
      <c r="D21" s="6">
        <f>76</f>
        <v>76</v>
      </c>
    </row>
    <row r="22" spans="2:12" ht="15.75" customHeight="1">
      <c r="C22" s="5" t="s">
        <v>11</v>
      </c>
      <c r="D22" s="7">
        <v>95.999999999999929</v>
      </c>
    </row>
    <row r="23" spans="2:12" ht="15.75" customHeight="1">
      <c r="C23" s="5" t="s">
        <v>12</v>
      </c>
      <c r="D23" s="6">
        <f>76</f>
        <v>76</v>
      </c>
    </row>
    <row r="24" spans="2:12" ht="15.75" customHeight="1">
      <c r="C24" s="5" t="s">
        <v>13</v>
      </c>
      <c r="D24" s="6">
        <f>80</f>
        <v>80</v>
      </c>
    </row>
    <row r="25" spans="2:12" ht="15.75" customHeight="1">
      <c r="C25" s="5" t="s">
        <v>14</v>
      </c>
      <c r="D25" s="8">
        <f>AVERAGE(D18:D22)</f>
        <v>79.999999999999986</v>
      </c>
    </row>
    <row r="26" spans="2:12" ht="15.75" customHeight="1">
      <c r="C26" s="9"/>
      <c r="D26" s="5"/>
    </row>
    <row r="27" spans="2:12" ht="15.75" customHeight="1">
      <c r="C27" s="9"/>
      <c r="D27" s="5"/>
    </row>
    <row r="28" spans="2:12" ht="15.75" customHeight="1">
      <c r="C28" s="9"/>
      <c r="D28" s="5"/>
    </row>
    <row r="29" spans="2:12" ht="15.75" customHeight="1">
      <c r="C29" s="9"/>
      <c r="D29" s="5"/>
    </row>
    <row r="30" spans="2:12" ht="15.75" customHeight="1">
      <c r="B30" s="1">
        <v>3</v>
      </c>
      <c r="C30" s="10" t="s">
        <v>15</v>
      </c>
      <c r="J30" s="1" t="s">
        <v>16</v>
      </c>
    </row>
    <row r="31" spans="2:12" ht="15.75" customHeight="1">
      <c r="C31" s="5"/>
      <c r="J31" s="11" t="s">
        <v>17</v>
      </c>
      <c r="K31" s="1" t="s">
        <v>18</v>
      </c>
    </row>
    <row r="32" spans="2:12" ht="15.75" customHeight="1">
      <c r="C32" s="5" t="s">
        <v>19</v>
      </c>
      <c r="D32">
        <f>0.15</f>
        <v>0.15</v>
      </c>
      <c r="E32" s="12"/>
      <c r="K32" s="1" t="s">
        <v>20</v>
      </c>
      <c r="L32" s="1" t="s">
        <v>21</v>
      </c>
    </row>
    <row r="33" spans="2:12" ht="15.75" customHeight="1">
      <c r="C33" s="1" t="s">
        <v>22</v>
      </c>
      <c r="D33" s="2">
        <v>1822614.6620066334</v>
      </c>
      <c r="K33" s="1" t="s">
        <v>23</v>
      </c>
      <c r="L33" s="1" t="s">
        <v>24</v>
      </c>
    </row>
    <row r="34" spans="2:12" ht="15.75" customHeight="1">
      <c r="C34" s="1" t="s">
        <v>25</v>
      </c>
      <c r="D34">
        <f>20</f>
        <v>20</v>
      </c>
      <c r="K34" s="1" t="s">
        <v>26</v>
      </c>
      <c r="L34" s="1" t="s">
        <v>27</v>
      </c>
    </row>
    <row r="35" spans="2:12" ht="15.75" customHeight="1">
      <c r="C35" s="1" t="s">
        <v>28</v>
      </c>
      <c r="D35" s="19">
        <f>PMT(D32/12,D34*12,-D33)</f>
        <v>24000</v>
      </c>
      <c r="K35" s="11"/>
    </row>
    <row r="36" spans="2:12" ht="15.75" customHeight="1">
      <c r="C36" s="1" t="s">
        <v>29</v>
      </c>
      <c r="D36">
        <v>24000</v>
      </c>
    </row>
    <row r="37" spans="2:12" ht="15.75" customHeight="1"/>
    <row r="38" spans="2:12" ht="15.75" customHeight="1"/>
    <row r="39" spans="2:12" ht="15.75" customHeight="1">
      <c r="B39" s="1">
        <v>4</v>
      </c>
      <c r="C39" s="1" t="s">
        <v>30</v>
      </c>
    </row>
    <row r="40" spans="2:12" ht="15.75" customHeight="1"/>
    <row r="41" spans="2:12" ht="15.75" customHeight="1">
      <c r="C41" s="5" t="s">
        <v>31</v>
      </c>
      <c r="D41" s="13">
        <f>34</f>
        <v>34</v>
      </c>
    </row>
    <row r="42" spans="2:12" ht="24.5" customHeight="1">
      <c r="C42" s="5" t="s">
        <v>32</v>
      </c>
      <c r="D42" s="13">
        <f>107</f>
        <v>107</v>
      </c>
    </row>
    <row r="43" spans="2:12" ht="15.75" customHeight="1">
      <c r="C43" s="5" t="s">
        <v>33</v>
      </c>
      <c r="D43" s="13">
        <f>75</f>
        <v>75</v>
      </c>
    </row>
    <row r="44" spans="2:12" ht="15.75" customHeight="1">
      <c r="C44" s="5" t="s">
        <v>34</v>
      </c>
      <c r="D44" s="14">
        <v>14.506579988465671</v>
      </c>
    </row>
    <row r="45" spans="2:12" ht="15.75" customHeight="1">
      <c r="C45" s="5" t="s">
        <v>35</v>
      </c>
      <c r="D45" s="13">
        <f>D41+D44</f>
        <v>48.506579988465674</v>
      </c>
    </row>
    <row r="46" spans="2:12" ht="15.75" customHeight="1">
      <c r="C46" s="5" t="s">
        <v>36</v>
      </c>
      <c r="D46" s="15">
        <f>D42*(D41/D45)</f>
        <v>75.000134020272625</v>
      </c>
      <c r="J46" s="1" t="s">
        <v>37</v>
      </c>
    </row>
    <row r="47" spans="2:12" ht="15.75" customHeight="1"/>
    <row r="48" spans="2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I1000"/>
  <sheetViews>
    <sheetView workbookViewId="0"/>
  </sheetViews>
  <sheetFormatPr defaultColWidth="14.453125" defaultRowHeight="15" customHeight="1"/>
  <cols>
    <col min="1" max="3" width="8.7265625" customWidth="1"/>
    <col min="4" max="4" width="16" customWidth="1"/>
    <col min="5" max="26" width="8.7265625" customWidth="1"/>
  </cols>
  <sheetData>
    <row r="3" spans="3:9" ht="14.5">
      <c r="C3" s="1">
        <v>1</v>
      </c>
      <c r="D3" s="1" t="s">
        <v>38</v>
      </c>
    </row>
    <row r="5" spans="3:9" ht="14.5">
      <c r="D5" s="5" t="s">
        <v>39</v>
      </c>
      <c r="E5" s="16"/>
    </row>
    <row r="6" spans="3:9" ht="14.5">
      <c r="D6" s="5" t="s">
        <v>40</v>
      </c>
      <c r="E6" s="17"/>
    </row>
    <row r="7" spans="3:9" ht="14.5">
      <c r="D7" s="5" t="s">
        <v>41</v>
      </c>
      <c r="E7" s="16">
        <v>22</v>
      </c>
    </row>
    <row r="8" spans="3:9" ht="14.5">
      <c r="D8" s="5" t="s">
        <v>42</v>
      </c>
      <c r="E8" s="18"/>
      <c r="I8" s="1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Goal Seek</vt:lpstr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Rakshitha K V</cp:lastModifiedBy>
  <dcterms:created xsi:type="dcterms:W3CDTF">2025-02-20T04:00:27Z</dcterms:created>
  <dcterms:modified xsi:type="dcterms:W3CDTF">2026-03-08T08:30:05Z</dcterms:modified>
</cp:coreProperties>
</file>