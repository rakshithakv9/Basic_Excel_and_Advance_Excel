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ha K V\Downloads\"/>
    </mc:Choice>
  </mc:AlternateContent>
  <xr:revisionPtr revIDLastSave="0" documentId="13_ncr:1_{ED6415FF-2766-49C4-B67D-79692BFCE3F9}" xr6:coauthVersionLast="47" xr6:coauthVersionMax="47" xr10:uidLastSave="{00000000-0000-0000-0000-000000000000}"/>
  <bookViews>
    <workbookView xWindow="-110" yWindow="-110" windowWidth="19420" windowHeight="10300" xr2:uid="{03E694AD-099F-4BA4-A94A-F0D785FFE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D45" i="1"/>
  <c r="M39" i="1"/>
  <c r="M38" i="1"/>
  <c r="M37" i="1"/>
  <c r="M36" i="1"/>
  <c r="L39" i="1"/>
  <c r="L38" i="1"/>
  <c r="L37" i="1"/>
  <c r="L36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33" i="1"/>
  <c r="F39" i="1"/>
  <c r="F38" i="1"/>
  <c r="F37" i="1"/>
  <c r="F36" i="1"/>
  <c r="E36" i="1"/>
  <c r="E39" i="1"/>
  <c r="E38" i="1"/>
  <c r="E37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33" i="1"/>
</calcChain>
</file>

<file path=xl/sharedStrings.xml><?xml version="1.0" encoding="utf-8"?>
<sst xmlns="http://schemas.openxmlformats.org/spreadsheetml/2006/main" count="51" uniqueCount="40">
  <si>
    <t>Supplier capacity</t>
  </si>
  <si>
    <t>Fixed contract charge</t>
  </si>
  <si>
    <t>Unit product cost</t>
  </si>
  <si>
    <t>Profit per unit</t>
  </si>
  <si>
    <t>USA</t>
  </si>
  <si>
    <t>China</t>
  </si>
  <si>
    <t>USA (A)</t>
  </si>
  <si>
    <t xml:space="preserve">China (C) </t>
  </si>
  <si>
    <t>Supplier Capacity</t>
  </si>
  <si>
    <t>Fixed Contract Charges</t>
  </si>
  <si>
    <t>Unit Product cost</t>
  </si>
  <si>
    <t xml:space="preserve">Profit per unit </t>
  </si>
  <si>
    <t xml:space="preserve">Demand </t>
  </si>
  <si>
    <t>Profit USA (A)</t>
  </si>
  <si>
    <t xml:space="preserve">Profit China (C) </t>
  </si>
  <si>
    <t>Kickathon - Supplier Decision Making</t>
  </si>
  <si>
    <t>1)Kicklathon, A French-based Sports retailer, plans to introduce A new product, TrekBareFoot- A tough Polyester based Socks, which can protect the foot while trekking</t>
  </si>
  <si>
    <r>
      <t xml:space="preserve">3) The price tag for TrekBareFoot is fixed at </t>
    </r>
    <r>
      <rPr>
        <b/>
        <sz val="11"/>
        <color rgb="FFFF0000"/>
        <rFont val="Calibri"/>
        <family val="2"/>
        <scheme val="minor"/>
      </rPr>
      <t>$200/-</t>
    </r>
  </si>
  <si>
    <r>
      <t xml:space="preserve">4)If the marketing efforts create a strong demand then about </t>
    </r>
    <r>
      <rPr>
        <b/>
        <sz val="11"/>
        <color rgb="FFFF0000"/>
        <rFont val="Calibri"/>
        <family val="2"/>
        <scheme val="minor"/>
      </rPr>
      <t>15000</t>
    </r>
    <r>
      <rPr>
        <b/>
        <sz val="11"/>
        <color theme="1"/>
        <rFont val="Calibri"/>
        <family val="2"/>
        <scheme val="minor"/>
      </rPr>
      <t xml:space="preserve"> units can be sold,  on the lower side, weak demand might end up with only </t>
    </r>
    <r>
      <rPr>
        <b/>
        <sz val="11"/>
        <color rgb="FFFF0000"/>
        <rFont val="Calibri"/>
        <family val="2"/>
        <scheme val="minor"/>
      </rPr>
      <t>6000</t>
    </r>
    <r>
      <rPr>
        <b/>
        <sz val="11"/>
        <color theme="1"/>
        <rFont val="Calibri"/>
        <family val="2"/>
        <scheme val="minor"/>
      </rPr>
      <t xml:space="preserve"> units.</t>
    </r>
  </si>
  <si>
    <t>5) There is a  50:50% chance for strong and weak demand in the market.</t>
  </si>
  <si>
    <t>6) TrekBareFoot being a is a specialized product, Kickathlon found only two suppliers one in USA and other in China. The pricing is as below.</t>
  </si>
  <si>
    <t>Solution:</t>
  </si>
  <si>
    <t>CHINA</t>
  </si>
  <si>
    <t>STRONG MARKET DEMAND [12000-17000]</t>
  </si>
  <si>
    <t>WEAK MARKET DEMAND [ 3000-8000]</t>
  </si>
  <si>
    <t>Strong</t>
  </si>
  <si>
    <t>Weak</t>
  </si>
  <si>
    <t>US</t>
  </si>
  <si>
    <t>Mean</t>
  </si>
  <si>
    <t>Std</t>
  </si>
  <si>
    <t>Max</t>
  </si>
  <si>
    <t>Min</t>
  </si>
  <si>
    <t>Maximize expected value:</t>
  </si>
  <si>
    <t>Expected value of profit in US:</t>
  </si>
  <si>
    <t>Expected value of profit in China:</t>
  </si>
  <si>
    <t xml:space="preserve"> </t>
  </si>
  <si>
    <t>Selling Price=200</t>
  </si>
  <si>
    <t>2) TrekBareFoot is scheduled to launch in next summer beginning so should be manufactured well in advance</t>
  </si>
  <si>
    <t>Profit  =  $50 * MIN (6000, Demand)</t>
  </si>
  <si>
    <t>Profit  =  $70 * MIN (15000, Demand)-500000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</si>
</sst>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(&quot;$&quot;* #,##0.00_);_(&quot;$&quot;* \(#,##0.00\);_(&quot;$&quot;* &quot;-&quot;??_);_(@_)"/>
    <numFmt numFmtId="166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3.5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2" xfId="0" applyBorder="1"/>
    <xf numFmtId="0" fontId="0" fillId="3" borderId="1" xfId="0" applyFill="1" applyBorder="1" applyAlignment="1">
      <alignment horizontal="center"/>
    </xf>
    <xf numFmtId="166" fontId="0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" fontId="0" fillId="0" borderId="0" xfId="0" applyNumberFormat="1"/>
    <xf numFmtId="0" fontId="3" fillId="0" borderId="0" xfId="0" applyFont="1"/>
    <xf numFmtId="0" fontId="6" fillId="0" borderId="0" xfId="0" applyFont="1"/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left" vertical="center" readingOrder="1"/>
    </xf>
    <xf numFmtId="0" fontId="3" fillId="2" borderId="2" xfId="0" applyFont="1" applyFill="1" applyBorder="1"/>
    <xf numFmtId="1" fontId="0" fillId="0" borderId="0" xfId="0" applyNumberFormat="1" applyAlignment="1">
      <alignment horizontal="center"/>
    </xf>
    <xf numFmtId="0" fontId="0" fillId="6" borderId="0" xfId="0" applyFill="1"/>
    <xf numFmtId="0" fontId="3" fillId="6" borderId="0" xfId="0" applyFont="1" applyFill="1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166" fontId="0" fillId="0" borderId="0" xfId="0" applyNumberFormat="1"/>
  </cellXfs>
  <cellStyles count="2">
    <cellStyle name="Currency 2" xfId="1" xr:uid="{CC3F92A3-7C46-4353-9236-F086E681F65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412750</xdr:colOff>
      <xdr:row>3</xdr:row>
      <xdr:rowOff>31750</xdr:rowOff>
    </xdr:from>
    <xdr:to>
      <xdr:col>12</xdr:col>
      <xdr:colOff>466725</xdr:colOff>
      <xdr:row>13</xdr:row>
      <xdr:rowOff>50800</xdr:rowOff>
    </xdr:to>
    <xdr:pic>
      <xdr:nvPicPr>
        <xdr:cNvPr id="2" name="Google Shape;217;p26" descr="Image result for fyf socks in india">
          <a:extLst>
            <a:ext uri="{FF2B5EF4-FFF2-40B4-BE49-F238E27FC236}">
              <a16:creationId xmlns:a16="http://schemas.microsoft.com/office/drawing/2014/main" id="{188E8A52-2CE6-4CC4-8A1E-2A63F477B0E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9220200" y="857250"/>
          <a:ext cx="2790825" cy="1860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2EFB-1086-4DE7-97E4-054C71B9F76F}">
  <dimension ref="A1:M1032"/>
  <sheetViews>
    <sheetView tabSelected="1" topLeftCell="A29" zoomScale="76" zoomScaleNormal="85" workbookViewId="0">
      <selection activeCell="D49" sqref="D49"/>
    </sheetView>
  </sheetViews>
  <sheetFormatPr defaultRowHeight="14.5" x14ac:dyDescent="0.35"/>
  <cols>
    <col min="1" max="1" width="21.1796875" customWidth="1"/>
    <col min="2" max="2" width="18.7265625" customWidth="1"/>
    <col min="3" max="3" width="15" customWidth="1"/>
    <col min="4" max="4" width="16.453125" customWidth="1"/>
    <col min="5" max="5" width="17.7265625" customWidth="1"/>
    <col min="6" max="6" width="13" customWidth="1"/>
    <col min="7" max="7" width="12.81640625" customWidth="1"/>
    <col min="8" max="8" width="15" customWidth="1"/>
    <col min="9" max="9" width="13" customWidth="1"/>
  </cols>
  <sheetData>
    <row r="1" spans="1:3" ht="36" x14ac:dyDescent="0.8">
      <c r="A1" s="13" t="s">
        <v>15</v>
      </c>
    </row>
    <row r="3" spans="1:3" x14ac:dyDescent="0.35">
      <c r="A3" s="12" t="s">
        <v>16</v>
      </c>
    </row>
    <row r="4" spans="1:3" x14ac:dyDescent="0.35">
      <c r="A4" s="12"/>
    </row>
    <row r="5" spans="1:3" x14ac:dyDescent="0.35">
      <c r="A5" s="12" t="s">
        <v>37</v>
      </c>
    </row>
    <row r="6" spans="1:3" x14ac:dyDescent="0.35">
      <c r="A6" s="12"/>
    </row>
    <row r="7" spans="1:3" x14ac:dyDescent="0.35">
      <c r="A7" s="12" t="s">
        <v>17</v>
      </c>
    </row>
    <row r="8" spans="1:3" x14ac:dyDescent="0.35">
      <c r="A8" s="12"/>
    </row>
    <row r="9" spans="1:3" x14ac:dyDescent="0.35">
      <c r="A9" s="12" t="s">
        <v>18</v>
      </c>
    </row>
    <row r="10" spans="1:3" x14ac:dyDescent="0.35">
      <c r="A10" s="12"/>
    </row>
    <row r="11" spans="1:3" x14ac:dyDescent="0.35">
      <c r="A11" s="12" t="s">
        <v>19</v>
      </c>
    </row>
    <row r="12" spans="1:3" x14ac:dyDescent="0.35">
      <c r="A12" s="12"/>
    </row>
    <row r="13" spans="1:3" x14ac:dyDescent="0.35">
      <c r="A13" s="12" t="s">
        <v>20</v>
      </c>
    </row>
    <row r="16" spans="1:3" x14ac:dyDescent="0.35">
      <c r="A16" s="7"/>
      <c r="B16" s="7" t="s">
        <v>6</v>
      </c>
      <c r="C16" s="7" t="s">
        <v>7</v>
      </c>
    </row>
    <row r="17" spans="1:9" ht="15.5" x14ac:dyDescent="0.35">
      <c r="A17" s="6" t="s">
        <v>8</v>
      </c>
      <c r="B17" s="10">
        <v>6000</v>
      </c>
      <c r="C17" s="10">
        <v>15000</v>
      </c>
    </row>
    <row r="18" spans="1:9" x14ac:dyDescent="0.35">
      <c r="A18" s="6" t="s">
        <v>9</v>
      </c>
      <c r="B18" s="8">
        <v>0</v>
      </c>
      <c r="C18" s="9">
        <v>500000</v>
      </c>
    </row>
    <row r="19" spans="1:9" x14ac:dyDescent="0.35">
      <c r="A19" s="6" t="s">
        <v>10</v>
      </c>
      <c r="B19" s="9">
        <v>150</v>
      </c>
      <c r="C19" s="9">
        <v>130</v>
      </c>
    </row>
    <row r="20" spans="1:9" x14ac:dyDescent="0.35">
      <c r="A20" s="6" t="s">
        <v>11</v>
      </c>
      <c r="B20" s="9">
        <v>50</v>
      </c>
      <c r="C20" s="9">
        <v>70</v>
      </c>
    </row>
    <row r="23" spans="1:9" x14ac:dyDescent="0.35">
      <c r="A23" s="14" t="s">
        <v>21</v>
      </c>
      <c r="B23" s="19" t="s">
        <v>36</v>
      </c>
    </row>
    <row r="25" spans="1:9" x14ac:dyDescent="0.35">
      <c r="A25" s="3"/>
      <c r="B25" s="16" t="s">
        <v>4</v>
      </c>
      <c r="C25" s="16" t="s">
        <v>5</v>
      </c>
    </row>
    <row r="26" spans="1:9" x14ac:dyDescent="0.35">
      <c r="A26" s="16" t="s">
        <v>0</v>
      </c>
      <c r="B26" s="3">
        <v>6000</v>
      </c>
      <c r="C26" s="3">
        <v>15000</v>
      </c>
    </row>
    <row r="27" spans="1:9" ht="17.5" x14ac:dyDescent="0.35">
      <c r="A27" s="16" t="s">
        <v>1</v>
      </c>
      <c r="B27" s="3">
        <v>0</v>
      </c>
      <c r="C27" s="3">
        <v>500000</v>
      </c>
      <c r="E27" s="1" t="s">
        <v>4</v>
      </c>
      <c r="F27" s="15" t="s">
        <v>38</v>
      </c>
    </row>
    <row r="28" spans="1:9" ht="17.5" x14ac:dyDescent="0.35">
      <c r="A28" s="16" t="s">
        <v>2</v>
      </c>
      <c r="B28" s="3">
        <v>150</v>
      </c>
      <c r="C28" s="3">
        <v>130</v>
      </c>
      <c r="E28" s="1" t="s">
        <v>22</v>
      </c>
      <c r="F28" s="15" t="s">
        <v>39</v>
      </c>
    </row>
    <row r="29" spans="1:9" x14ac:dyDescent="0.35">
      <c r="A29" s="16" t="s">
        <v>3</v>
      </c>
      <c r="B29" s="3">
        <v>50</v>
      </c>
      <c r="C29" s="3">
        <v>70</v>
      </c>
    </row>
    <row r="31" spans="1:9" x14ac:dyDescent="0.35">
      <c r="A31" s="21" t="s">
        <v>23</v>
      </c>
      <c r="B31" s="21"/>
      <c r="C31" s="21"/>
      <c r="G31" s="21" t="s">
        <v>24</v>
      </c>
      <c r="H31" s="21"/>
      <c r="I31" s="21"/>
    </row>
    <row r="32" spans="1:9" x14ac:dyDescent="0.35">
      <c r="A32" s="4" t="s">
        <v>12</v>
      </c>
      <c r="B32" s="5" t="s">
        <v>13</v>
      </c>
      <c r="C32" s="5" t="s">
        <v>14</v>
      </c>
      <c r="G32" s="4" t="s">
        <v>12</v>
      </c>
      <c r="H32" s="5" t="s">
        <v>13</v>
      </c>
      <c r="I32" s="5" t="s">
        <v>14</v>
      </c>
    </row>
    <row r="33" spans="1:13" x14ac:dyDescent="0.35">
      <c r="A33" s="11">
        <v>16558.549760429702</v>
      </c>
      <c r="B33" s="20">
        <f>50*MIN(6000,A33)</f>
        <v>300000</v>
      </c>
      <c r="C33" s="17">
        <f>70*MIN(15000,A33)-500000</f>
        <v>550000</v>
      </c>
      <c r="G33" s="11">
        <v>6736.9914853358559</v>
      </c>
      <c r="H33" s="20">
        <f>50*MIN(6000,G33)</f>
        <v>300000</v>
      </c>
      <c r="I33" s="17">
        <f>70*MIN(15000,G33)-500000</f>
        <v>-28410.596026490093</v>
      </c>
    </row>
    <row r="34" spans="1:13" x14ac:dyDescent="0.35">
      <c r="A34" s="11">
        <v>12420.239875484482</v>
      </c>
      <c r="B34" s="20">
        <f t="shared" ref="B34:B97" si="0">50*MIN(6000,A34)</f>
        <v>300000</v>
      </c>
      <c r="C34" s="17">
        <f t="shared" ref="C34:C97" si="1">70*MIN(15000,A34)-500000</f>
        <v>369416.79128391377</v>
      </c>
      <c r="E34" s="18" t="s">
        <v>25</v>
      </c>
      <c r="G34" s="11">
        <v>7864.345225379192</v>
      </c>
      <c r="H34" s="20">
        <f t="shared" ref="H34:H97" si="2">50*MIN(6000,G34)</f>
        <v>300000</v>
      </c>
      <c r="I34" s="17">
        <f t="shared" ref="I34:I97" si="3">70*MIN(15000,G34)-500000</f>
        <v>50504.165776543436</v>
      </c>
      <c r="L34" s="18" t="s">
        <v>26</v>
      </c>
    </row>
    <row r="35" spans="1:13" x14ac:dyDescent="0.35">
      <c r="A35" s="11">
        <v>16771.263771477403</v>
      </c>
      <c r="B35" s="20">
        <f t="shared" si="0"/>
        <v>300000</v>
      </c>
      <c r="C35" s="17">
        <f t="shared" si="1"/>
        <v>550000</v>
      </c>
      <c r="E35" s="1" t="s">
        <v>27</v>
      </c>
      <c r="F35" s="1" t="s">
        <v>5</v>
      </c>
      <c r="G35" s="11">
        <v>6288.0642109439377</v>
      </c>
      <c r="H35" s="20">
        <f t="shared" si="2"/>
        <v>300000</v>
      </c>
      <c r="I35" s="17">
        <f t="shared" si="3"/>
        <v>-59835.50523392437</v>
      </c>
      <c r="L35" s="1" t="s">
        <v>27</v>
      </c>
      <c r="M35" s="1" t="s">
        <v>5</v>
      </c>
    </row>
    <row r="36" spans="1:13" x14ac:dyDescent="0.35">
      <c r="A36" s="11">
        <v>16130.0698873867</v>
      </c>
      <c r="B36" s="20">
        <f t="shared" si="0"/>
        <v>300000</v>
      </c>
      <c r="C36" s="17">
        <f t="shared" si="1"/>
        <v>550000</v>
      </c>
      <c r="D36" s="2" t="s">
        <v>28</v>
      </c>
      <c r="E36" s="22">
        <f>AVERAGE(B32:B1032)</f>
        <v>300000</v>
      </c>
      <c r="F36" s="11">
        <f>AVERAGE(C32:C1032)</f>
        <v>481850.91860713507</v>
      </c>
      <c r="G36" s="11">
        <v>5176.42750328074</v>
      </c>
      <c r="H36" s="20">
        <f t="shared" si="2"/>
        <v>258821.37516403699</v>
      </c>
      <c r="I36" s="17">
        <f t="shared" si="3"/>
        <v>-137650.0747703482</v>
      </c>
      <c r="K36" s="2" t="s">
        <v>28</v>
      </c>
      <c r="L36" s="11">
        <f>AVERAGE(H32:H1032)</f>
        <v>254765.51103244105</v>
      </c>
      <c r="M36" s="11">
        <f>AVERAGE(I32:I1032)</f>
        <v>-116995.16129032258</v>
      </c>
    </row>
    <row r="37" spans="1:13" x14ac:dyDescent="0.35">
      <c r="A37" s="11">
        <v>13658.986175115208</v>
      </c>
      <c r="B37" s="20">
        <f t="shared" si="0"/>
        <v>300000</v>
      </c>
      <c r="C37" s="17">
        <f t="shared" si="1"/>
        <v>456129.03225806449</v>
      </c>
      <c r="D37" s="2" t="s">
        <v>29</v>
      </c>
      <c r="E37">
        <f>_xlfn.STDEV.P(B32:B1032)</f>
        <v>0</v>
      </c>
      <c r="F37">
        <f>_xlfn.STDEV.P(C32:C35)</f>
        <v>85127.740967713093</v>
      </c>
      <c r="G37" s="11">
        <v>4799.3713187047942</v>
      </c>
      <c r="H37" s="20">
        <f t="shared" si="2"/>
        <v>239968.56593523972</v>
      </c>
      <c r="I37" s="17">
        <f t="shared" si="3"/>
        <v>-164044.00769066438</v>
      </c>
      <c r="K37" s="2" t="s">
        <v>29</v>
      </c>
      <c r="L37" s="11">
        <f>_xlfn.STDEV.S(H32:H1032)</f>
        <v>49754.451960141472</v>
      </c>
      <c r="M37" s="11">
        <f>_xlfn.STDEV.P(I32:I1032)</f>
        <v>99399.305798297035</v>
      </c>
    </row>
    <row r="38" spans="1:13" x14ac:dyDescent="0.35">
      <c r="A38" s="11">
        <v>13237.067781609547</v>
      </c>
      <c r="B38" s="20">
        <f t="shared" si="0"/>
        <v>300000</v>
      </c>
      <c r="C38" s="17">
        <f t="shared" si="1"/>
        <v>426594.74471266824</v>
      </c>
      <c r="D38" s="2" t="s">
        <v>30</v>
      </c>
      <c r="E38" s="22">
        <f>MAX(B32:B1032)</f>
        <v>300000</v>
      </c>
      <c r="F38" s="22">
        <f>MAX(C32:C1032)</f>
        <v>550000</v>
      </c>
      <c r="G38" s="11">
        <v>3265.5110324411758</v>
      </c>
      <c r="H38" s="20">
        <f t="shared" si="2"/>
        <v>163275.55162205879</v>
      </c>
      <c r="I38" s="17">
        <f t="shared" si="3"/>
        <v>-271414.22772911773</v>
      </c>
      <c r="K38" s="2" t="s">
        <v>30</v>
      </c>
      <c r="L38" s="11">
        <f>MAX(H32:H1032)</f>
        <v>300000</v>
      </c>
      <c r="M38" s="11">
        <f>MAX(I32:I1032)</f>
        <v>59626.148258919013</v>
      </c>
    </row>
    <row r="39" spans="1:13" x14ac:dyDescent="0.35">
      <c r="A39" s="11">
        <v>13561.784722434157</v>
      </c>
      <c r="B39" s="20">
        <f t="shared" si="0"/>
        <v>300000</v>
      </c>
      <c r="C39" s="17">
        <f t="shared" si="1"/>
        <v>449324.93057039101</v>
      </c>
      <c r="D39" s="2" t="s">
        <v>31</v>
      </c>
      <c r="E39" s="22">
        <f>MIN(B32:B1032)</f>
        <v>300000</v>
      </c>
      <c r="F39" s="22">
        <f>MIN(C32:C1032)</f>
        <v>340170.90365306556</v>
      </c>
      <c r="G39" s="11">
        <v>4765.1905880916775</v>
      </c>
      <c r="H39" s="20">
        <f t="shared" si="2"/>
        <v>238259.52940458388</v>
      </c>
      <c r="I39" s="17">
        <f t="shared" si="3"/>
        <v>-166436.65883358259</v>
      </c>
      <c r="K39" s="2" t="s">
        <v>31</v>
      </c>
      <c r="L39" s="11">
        <f>MIN(H32:H1032)</f>
        <v>150320.44434949796</v>
      </c>
      <c r="M39" s="11">
        <f>MIN(I32:I1032)</f>
        <v>-289551.37791070284</v>
      </c>
    </row>
    <row r="40" spans="1:13" x14ac:dyDescent="0.35">
      <c r="A40" s="11">
        <v>16249.24466689047</v>
      </c>
      <c r="B40" s="20">
        <f t="shared" si="0"/>
        <v>300000</v>
      </c>
      <c r="C40" s="17">
        <f t="shared" si="1"/>
        <v>550000</v>
      </c>
      <c r="G40" s="11">
        <v>5360.6067079683835</v>
      </c>
      <c r="H40" s="20">
        <f t="shared" si="2"/>
        <v>268030.33539841918</v>
      </c>
      <c r="I40" s="17">
        <f t="shared" si="3"/>
        <v>-124757.53044221317</v>
      </c>
    </row>
    <row r="41" spans="1:13" x14ac:dyDescent="0.35">
      <c r="A41" s="11">
        <v>12190.130314035463</v>
      </c>
      <c r="B41" s="20">
        <f t="shared" si="0"/>
        <v>300000</v>
      </c>
      <c r="C41" s="17">
        <f t="shared" si="1"/>
        <v>353309.12198248238</v>
      </c>
      <c r="G41" s="11">
        <v>3425.5806146427808</v>
      </c>
      <c r="H41" s="20">
        <f t="shared" si="2"/>
        <v>171279.03073213904</v>
      </c>
      <c r="I41" s="17">
        <f t="shared" si="3"/>
        <v>-260209.35697500536</v>
      </c>
    </row>
    <row r="42" spans="1:13" x14ac:dyDescent="0.35">
      <c r="A42" s="11">
        <v>14894.070253608814</v>
      </c>
      <c r="B42" s="20">
        <f t="shared" si="0"/>
        <v>300000</v>
      </c>
      <c r="C42" s="17">
        <f t="shared" si="1"/>
        <v>542584.91775261692</v>
      </c>
      <c r="G42" s="11">
        <v>6773.7662892544322</v>
      </c>
      <c r="H42" s="20">
        <f t="shared" si="2"/>
        <v>300000</v>
      </c>
      <c r="I42" s="17">
        <f t="shared" si="3"/>
        <v>-25836.359752189717</v>
      </c>
    </row>
    <row r="43" spans="1:13" x14ac:dyDescent="0.35">
      <c r="A43" s="11">
        <v>15091.830195013275</v>
      </c>
      <c r="B43" s="20">
        <f t="shared" si="0"/>
        <v>300000</v>
      </c>
      <c r="C43" s="17">
        <f t="shared" si="1"/>
        <v>550000</v>
      </c>
      <c r="D43" s="1" t="s">
        <v>32</v>
      </c>
      <c r="E43" s="1"/>
      <c r="G43" s="11">
        <v>5308.5726493118073</v>
      </c>
      <c r="H43" s="20">
        <f t="shared" si="2"/>
        <v>265428.63246559037</v>
      </c>
      <c r="I43" s="17">
        <f t="shared" si="3"/>
        <v>-128399.91454817349</v>
      </c>
    </row>
    <row r="44" spans="1:13" x14ac:dyDescent="0.35">
      <c r="A44" s="11">
        <v>12400.250251777703</v>
      </c>
      <c r="B44" s="20">
        <f t="shared" si="0"/>
        <v>300000</v>
      </c>
      <c r="C44" s="17">
        <f t="shared" si="1"/>
        <v>368017.51762443921</v>
      </c>
      <c r="D44" t="s">
        <v>33</v>
      </c>
      <c r="G44" s="11">
        <v>7841.4563432721943</v>
      </c>
      <c r="H44" s="20">
        <f t="shared" si="2"/>
        <v>300000</v>
      </c>
      <c r="I44" s="17">
        <f t="shared" si="3"/>
        <v>48901.944029053557</v>
      </c>
    </row>
    <row r="45" spans="1:13" x14ac:dyDescent="0.35">
      <c r="A45" s="11">
        <v>15780.327768791773</v>
      </c>
      <c r="B45" s="20">
        <f t="shared" si="0"/>
        <v>300000</v>
      </c>
      <c r="C45" s="17">
        <f t="shared" si="1"/>
        <v>550000</v>
      </c>
      <c r="D45">
        <f>E36*0.5+L36*0.5</f>
        <v>277382.75551622052</v>
      </c>
      <c r="G45" s="11">
        <v>6706.7781609546191</v>
      </c>
      <c r="H45" s="20">
        <f t="shared" si="2"/>
        <v>300000</v>
      </c>
      <c r="I45" s="17">
        <f t="shared" si="3"/>
        <v>-30525.528733176645</v>
      </c>
    </row>
    <row r="46" spans="1:13" x14ac:dyDescent="0.35">
      <c r="A46" s="11">
        <v>15190.099795525986</v>
      </c>
      <c r="B46" s="20">
        <f t="shared" si="0"/>
        <v>300000</v>
      </c>
      <c r="C46" s="17">
        <f t="shared" si="1"/>
        <v>550000</v>
      </c>
      <c r="G46" s="11">
        <v>5590.4110843226417</v>
      </c>
      <c r="H46" s="20">
        <f t="shared" si="2"/>
        <v>279520.55421613209</v>
      </c>
      <c r="I46" s="17">
        <f t="shared" si="3"/>
        <v>-108671.22409741511</v>
      </c>
    </row>
    <row r="47" spans="1:13" x14ac:dyDescent="0.35">
      <c r="A47" s="11">
        <v>14412.793359172338</v>
      </c>
      <c r="B47" s="20">
        <f t="shared" si="0"/>
        <v>300000</v>
      </c>
      <c r="C47" s="17">
        <f t="shared" si="1"/>
        <v>508895.53514206363</v>
      </c>
      <c r="D47" t="s">
        <v>34</v>
      </c>
      <c r="G47" s="11">
        <v>5387.7681814020207</v>
      </c>
      <c r="H47" s="20">
        <f t="shared" si="2"/>
        <v>269388.40907010104</v>
      </c>
      <c r="I47" s="17">
        <f t="shared" si="3"/>
        <v>-122856.22730185854</v>
      </c>
    </row>
    <row r="48" spans="1:13" x14ac:dyDescent="0.35">
      <c r="A48" s="11">
        <v>13585.894344920194</v>
      </c>
      <c r="B48" s="20">
        <f t="shared" si="0"/>
        <v>300000</v>
      </c>
      <c r="C48" s="17">
        <f t="shared" si="1"/>
        <v>451012.60414441361</v>
      </c>
      <c r="D48">
        <f>F36*0.5+M36*0.5</f>
        <v>182427.87865840626</v>
      </c>
      <c r="G48" s="11">
        <v>5486.6481521042515</v>
      </c>
      <c r="H48" s="20">
        <f t="shared" si="2"/>
        <v>274332.40760521259</v>
      </c>
      <c r="I48" s="17">
        <f t="shared" si="3"/>
        <v>-115934.62935270241</v>
      </c>
    </row>
    <row r="49" spans="1:9" x14ac:dyDescent="0.35">
      <c r="A49" s="11">
        <v>15452.101199377423</v>
      </c>
      <c r="B49" s="20">
        <f t="shared" si="0"/>
        <v>300000</v>
      </c>
      <c r="C49" s="17">
        <f t="shared" si="1"/>
        <v>550000</v>
      </c>
      <c r="E49" t="s">
        <v>35</v>
      </c>
      <c r="G49" s="11">
        <v>7710.8371227149264</v>
      </c>
      <c r="H49" s="20">
        <f t="shared" si="2"/>
        <v>300000</v>
      </c>
      <c r="I49" s="17">
        <f t="shared" si="3"/>
        <v>39758.598590044887</v>
      </c>
    </row>
    <row r="50" spans="1:9" x14ac:dyDescent="0.35">
      <c r="A50" s="11">
        <v>14468.031861323892</v>
      </c>
      <c r="B50" s="20">
        <f t="shared" si="0"/>
        <v>300000</v>
      </c>
      <c r="C50" s="17">
        <f t="shared" si="1"/>
        <v>512762.23029267252</v>
      </c>
      <c r="G50" s="11">
        <v>7994.6592608417004</v>
      </c>
      <c r="H50" s="20">
        <f t="shared" si="2"/>
        <v>300000</v>
      </c>
      <c r="I50" s="17">
        <f t="shared" si="3"/>
        <v>59626.148258919013</v>
      </c>
    </row>
    <row r="51" spans="1:9" x14ac:dyDescent="0.35">
      <c r="A51" s="11">
        <v>12763.87829218421</v>
      </c>
      <c r="B51" s="20">
        <f t="shared" si="0"/>
        <v>300000</v>
      </c>
      <c r="C51" s="17">
        <f t="shared" si="1"/>
        <v>393471.4804528947</v>
      </c>
      <c r="G51" s="11">
        <v>5217.322305978576</v>
      </c>
      <c r="H51" s="20">
        <f t="shared" si="2"/>
        <v>260866.11529892881</v>
      </c>
      <c r="I51" s="17">
        <f t="shared" si="3"/>
        <v>-134787.43858149968</v>
      </c>
    </row>
    <row r="52" spans="1:9" x14ac:dyDescent="0.35">
      <c r="A52" s="11">
        <v>16783.776360362561</v>
      </c>
      <c r="B52" s="20">
        <f t="shared" si="0"/>
        <v>300000</v>
      </c>
      <c r="C52" s="17">
        <f t="shared" si="1"/>
        <v>550000</v>
      </c>
      <c r="G52" s="11">
        <v>4998.3520004882957</v>
      </c>
      <c r="H52" s="20">
        <f t="shared" si="2"/>
        <v>249917.60002441477</v>
      </c>
      <c r="I52" s="17">
        <f t="shared" si="3"/>
        <v>-150115.35996581928</v>
      </c>
    </row>
    <row r="53" spans="1:9" x14ac:dyDescent="0.35">
      <c r="A53" s="11">
        <v>15684.804834131901</v>
      </c>
      <c r="B53" s="20">
        <f t="shared" si="0"/>
        <v>300000</v>
      </c>
      <c r="C53" s="17">
        <f t="shared" si="1"/>
        <v>550000</v>
      </c>
      <c r="G53" s="11">
        <v>6793.9085055085907</v>
      </c>
      <c r="H53" s="20">
        <f t="shared" si="2"/>
        <v>300000</v>
      </c>
      <c r="I53" s="17">
        <f t="shared" si="3"/>
        <v>-24426.404614398663</v>
      </c>
    </row>
    <row r="54" spans="1:9" x14ac:dyDescent="0.35">
      <c r="A54" s="11">
        <v>15552.049317911313</v>
      </c>
      <c r="B54" s="20">
        <f t="shared" si="0"/>
        <v>300000</v>
      </c>
      <c r="C54" s="17">
        <f t="shared" si="1"/>
        <v>550000</v>
      </c>
      <c r="G54" s="11">
        <v>4033.6619159520251</v>
      </c>
      <c r="H54" s="20">
        <f t="shared" si="2"/>
        <v>201683.09579760124</v>
      </c>
      <c r="I54" s="17">
        <f t="shared" si="3"/>
        <v>-217643.66588335822</v>
      </c>
    </row>
    <row r="55" spans="1:9" x14ac:dyDescent="0.35">
      <c r="A55" s="11">
        <v>15386.333811456649</v>
      </c>
      <c r="B55" s="20">
        <f t="shared" si="0"/>
        <v>300000</v>
      </c>
      <c r="C55" s="17">
        <f t="shared" si="1"/>
        <v>550000</v>
      </c>
      <c r="G55" s="11">
        <v>3807.9775383770257</v>
      </c>
      <c r="H55" s="20">
        <f t="shared" si="2"/>
        <v>190398.87691885128</v>
      </c>
      <c r="I55" s="17">
        <f t="shared" si="3"/>
        <v>-233441.57231360819</v>
      </c>
    </row>
    <row r="56" spans="1:9" x14ac:dyDescent="0.35">
      <c r="A56" s="11">
        <v>12630.817590868863</v>
      </c>
      <c r="B56" s="20">
        <f t="shared" si="0"/>
        <v>300000</v>
      </c>
      <c r="C56" s="17">
        <f t="shared" si="1"/>
        <v>384157.23136082035</v>
      </c>
      <c r="G56" s="11">
        <v>4385.5403302102723</v>
      </c>
      <c r="H56" s="20">
        <f t="shared" si="2"/>
        <v>219277.01651051361</v>
      </c>
      <c r="I56" s="17">
        <f t="shared" si="3"/>
        <v>-193012.17688528093</v>
      </c>
    </row>
    <row r="57" spans="1:9" x14ac:dyDescent="0.35">
      <c r="A57" s="11">
        <v>12986.81600390637</v>
      </c>
      <c r="B57" s="20">
        <f t="shared" si="0"/>
        <v>300000</v>
      </c>
      <c r="C57" s="17">
        <f t="shared" si="1"/>
        <v>409077.12027344585</v>
      </c>
      <c r="G57" s="11">
        <v>7303.8727988525043</v>
      </c>
      <c r="H57" s="20">
        <f t="shared" si="2"/>
        <v>300000</v>
      </c>
      <c r="I57" s="17">
        <f t="shared" si="3"/>
        <v>11271.09591967531</v>
      </c>
    </row>
    <row r="58" spans="1:9" x14ac:dyDescent="0.35">
      <c r="A58" s="11">
        <v>16155.552842799158</v>
      </c>
      <c r="B58" s="20">
        <f t="shared" si="0"/>
        <v>300000</v>
      </c>
      <c r="C58" s="17">
        <f t="shared" si="1"/>
        <v>550000</v>
      </c>
      <c r="G58" s="11">
        <v>4037.1715445417644</v>
      </c>
      <c r="H58" s="20">
        <f t="shared" si="2"/>
        <v>201858.57722708822</v>
      </c>
      <c r="I58" s="17">
        <f t="shared" si="3"/>
        <v>-217397.99188207649</v>
      </c>
    </row>
    <row r="59" spans="1:9" x14ac:dyDescent="0.35">
      <c r="A59" s="11">
        <v>14923.673207800532</v>
      </c>
      <c r="B59" s="20">
        <f t="shared" si="0"/>
        <v>300000</v>
      </c>
      <c r="C59" s="17">
        <f t="shared" si="1"/>
        <v>544657.12454603717</v>
      </c>
      <c r="G59" s="11">
        <v>6550.3707998901336</v>
      </c>
      <c r="H59" s="20">
        <f t="shared" si="2"/>
        <v>300000</v>
      </c>
      <c r="I59" s="17">
        <f t="shared" si="3"/>
        <v>-41474.044007690623</v>
      </c>
    </row>
    <row r="60" spans="1:9" x14ac:dyDescent="0.35">
      <c r="A60" s="11">
        <v>13344.950712607197</v>
      </c>
      <c r="B60" s="20">
        <f t="shared" si="0"/>
        <v>300000</v>
      </c>
      <c r="C60" s="17">
        <f t="shared" si="1"/>
        <v>434146.54988250381</v>
      </c>
      <c r="G60" s="11">
        <v>5839.1369365520186</v>
      </c>
      <c r="H60" s="20">
        <f t="shared" si="2"/>
        <v>291956.84682760091</v>
      </c>
      <c r="I60" s="17">
        <f t="shared" si="3"/>
        <v>-91260.414441358706</v>
      </c>
    </row>
    <row r="61" spans="1:9" x14ac:dyDescent="0.35">
      <c r="A61" s="11">
        <v>12759.30051576281</v>
      </c>
      <c r="B61" s="20">
        <f t="shared" si="0"/>
        <v>300000</v>
      </c>
      <c r="C61" s="17">
        <f t="shared" si="1"/>
        <v>393151.03610339668</v>
      </c>
      <c r="G61" s="11">
        <v>5083.1934568315683</v>
      </c>
      <c r="H61" s="20">
        <f t="shared" si="2"/>
        <v>254159.6728415784</v>
      </c>
      <c r="I61" s="17">
        <f t="shared" si="3"/>
        <v>-144176.4580217902</v>
      </c>
    </row>
    <row r="62" spans="1:9" x14ac:dyDescent="0.35">
      <c r="A62" s="11">
        <v>16415.723136082033</v>
      </c>
      <c r="B62" s="20">
        <f t="shared" si="0"/>
        <v>300000</v>
      </c>
      <c r="C62" s="17">
        <f t="shared" si="1"/>
        <v>550000</v>
      </c>
      <c r="G62" s="11">
        <v>5734.6110415967287</v>
      </c>
      <c r="H62" s="20">
        <f t="shared" si="2"/>
        <v>286730.55207983643</v>
      </c>
      <c r="I62" s="17">
        <f t="shared" si="3"/>
        <v>-98577.227088228974</v>
      </c>
    </row>
    <row r="63" spans="1:9" x14ac:dyDescent="0.35">
      <c r="A63" s="11">
        <v>14443.311868648336</v>
      </c>
      <c r="B63" s="20">
        <f t="shared" si="0"/>
        <v>300000</v>
      </c>
      <c r="C63" s="17">
        <f t="shared" si="1"/>
        <v>511031.83080538351</v>
      </c>
      <c r="G63" s="11">
        <v>6987.3958555864137</v>
      </c>
      <c r="H63" s="20">
        <f t="shared" si="2"/>
        <v>300000</v>
      </c>
      <c r="I63" s="17">
        <f t="shared" si="3"/>
        <v>-10882.290108951041</v>
      </c>
    </row>
    <row r="64" spans="1:9" x14ac:dyDescent="0.35">
      <c r="A64" s="11">
        <v>16786.5230262154</v>
      </c>
      <c r="B64" s="20">
        <f t="shared" si="0"/>
        <v>300000</v>
      </c>
      <c r="C64" s="17">
        <f t="shared" si="1"/>
        <v>550000</v>
      </c>
      <c r="G64" s="11">
        <v>6037.04947050386</v>
      </c>
      <c r="H64" s="20">
        <f t="shared" si="2"/>
        <v>300000</v>
      </c>
      <c r="I64" s="17">
        <f t="shared" si="3"/>
        <v>-77406.537064729782</v>
      </c>
    </row>
    <row r="65" spans="1:9" x14ac:dyDescent="0.35">
      <c r="A65" s="11">
        <v>12731.681264687033</v>
      </c>
      <c r="B65" s="20">
        <f t="shared" si="0"/>
        <v>300000</v>
      </c>
      <c r="C65" s="17">
        <f t="shared" si="1"/>
        <v>391217.68852809235</v>
      </c>
      <c r="G65" s="11">
        <v>5676.1680959501937</v>
      </c>
      <c r="H65" s="20">
        <f t="shared" si="2"/>
        <v>283808.40479750966</v>
      </c>
      <c r="I65" s="17">
        <f t="shared" si="3"/>
        <v>-102668.23328348645</v>
      </c>
    </row>
    <row r="66" spans="1:9" x14ac:dyDescent="0.35">
      <c r="A66" s="11">
        <v>16711.447492904445</v>
      </c>
      <c r="B66" s="20">
        <f t="shared" si="0"/>
        <v>300000</v>
      </c>
      <c r="C66" s="17">
        <f t="shared" si="1"/>
        <v>550000</v>
      </c>
      <c r="G66" s="11">
        <v>3256.6606646931364</v>
      </c>
      <c r="H66" s="20">
        <f t="shared" si="2"/>
        <v>162833.03323465682</v>
      </c>
      <c r="I66" s="17">
        <f t="shared" si="3"/>
        <v>-272033.75347148045</v>
      </c>
    </row>
    <row r="67" spans="1:9" x14ac:dyDescent="0.35">
      <c r="A67" s="11">
        <v>14607.501449629201</v>
      </c>
      <c r="B67" s="20">
        <f t="shared" si="0"/>
        <v>300000</v>
      </c>
      <c r="C67" s="17">
        <f t="shared" si="1"/>
        <v>522525.10147404403</v>
      </c>
      <c r="G67" s="11">
        <v>7933.3170567949464</v>
      </c>
      <c r="H67" s="20">
        <f t="shared" si="2"/>
        <v>300000</v>
      </c>
      <c r="I67" s="17">
        <f t="shared" si="3"/>
        <v>55332.193975646282</v>
      </c>
    </row>
    <row r="68" spans="1:9" x14ac:dyDescent="0.35">
      <c r="A68" s="11">
        <v>13071.199682607501</v>
      </c>
      <c r="B68" s="20">
        <f t="shared" si="0"/>
        <v>300000</v>
      </c>
      <c r="C68" s="17">
        <f t="shared" si="1"/>
        <v>414983.97778252512</v>
      </c>
      <c r="G68" s="11">
        <v>3413.3732108523818</v>
      </c>
      <c r="H68" s="20">
        <f t="shared" si="2"/>
        <v>170668.66054261909</v>
      </c>
      <c r="I68" s="17">
        <f t="shared" si="3"/>
        <v>-261063.87524033326</v>
      </c>
    </row>
    <row r="69" spans="1:9" x14ac:dyDescent="0.35">
      <c r="A69" s="11">
        <v>13750.389110995819</v>
      </c>
      <c r="B69" s="20">
        <f t="shared" si="0"/>
        <v>300000</v>
      </c>
      <c r="C69" s="17">
        <f t="shared" si="1"/>
        <v>462527.23776970734</v>
      </c>
      <c r="G69" s="11">
        <v>5648.2436597796568</v>
      </c>
      <c r="H69" s="20">
        <f t="shared" si="2"/>
        <v>282412.18298898282</v>
      </c>
      <c r="I69" s="17">
        <f t="shared" si="3"/>
        <v>-104622.94381542405</v>
      </c>
    </row>
    <row r="70" spans="1:9" x14ac:dyDescent="0.35">
      <c r="A70" s="11">
        <v>13421.094393749809</v>
      </c>
      <c r="B70" s="20">
        <f t="shared" si="0"/>
        <v>300000</v>
      </c>
      <c r="C70" s="17">
        <f t="shared" si="1"/>
        <v>439476.60756248655</v>
      </c>
      <c r="G70" s="11">
        <v>3804.6205023346661</v>
      </c>
      <c r="H70" s="20">
        <f t="shared" si="2"/>
        <v>190231.0251167333</v>
      </c>
      <c r="I70" s="17">
        <f t="shared" si="3"/>
        <v>-233676.56483657338</v>
      </c>
    </row>
    <row r="71" spans="1:9" x14ac:dyDescent="0.35">
      <c r="A71" s="11">
        <v>12025.635547959837</v>
      </c>
      <c r="B71" s="20">
        <f t="shared" si="0"/>
        <v>300000</v>
      </c>
      <c r="C71" s="17">
        <f t="shared" si="1"/>
        <v>341794.48835718853</v>
      </c>
      <c r="G71" s="11">
        <v>4594.8973052156134</v>
      </c>
      <c r="H71" s="20">
        <f t="shared" si="2"/>
        <v>229744.86526078067</v>
      </c>
      <c r="I71" s="17">
        <f t="shared" si="3"/>
        <v>-178357.18863490707</v>
      </c>
    </row>
    <row r="72" spans="1:9" x14ac:dyDescent="0.35">
      <c r="A72" s="11">
        <v>12636.921292764062</v>
      </c>
      <c r="B72" s="20">
        <f t="shared" si="0"/>
        <v>300000</v>
      </c>
      <c r="C72" s="17">
        <f t="shared" si="1"/>
        <v>384584.49049348431</v>
      </c>
      <c r="G72" s="11">
        <v>4421.2469862971893</v>
      </c>
      <c r="H72" s="20">
        <f t="shared" si="2"/>
        <v>221062.34931485946</v>
      </c>
      <c r="I72" s="17">
        <f t="shared" si="3"/>
        <v>-190512.71095919673</v>
      </c>
    </row>
    <row r="73" spans="1:9" x14ac:dyDescent="0.35">
      <c r="A73" s="11">
        <v>16203.772087771233</v>
      </c>
      <c r="B73" s="20">
        <f t="shared" si="0"/>
        <v>300000</v>
      </c>
      <c r="C73" s="17">
        <f t="shared" si="1"/>
        <v>550000</v>
      </c>
      <c r="G73" s="11">
        <v>6922.2388378551586</v>
      </c>
      <c r="H73" s="20">
        <f t="shared" si="2"/>
        <v>300000</v>
      </c>
      <c r="I73" s="17">
        <f t="shared" si="3"/>
        <v>-15443.281350138888</v>
      </c>
    </row>
    <row r="74" spans="1:9" x14ac:dyDescent="0.35">
      <c r="A74" s="11">
        <v>12775.780510879849</v>
      </c>
      <c r="B74" s="20">
        <f t="shared" si="0"/>
        <v>300000</v>
      </c>
      <c r="C74" s="17">
        <f t="shared" si="1"/>
        <v>394304.63576158951</v>
      </c>
      <c r="G74" s="11">
        <v>5264.1682180242315</v>
      </c>
      <c r="H74" s="20">
        <f t="shared" si="2"/>
        <v>263208.41090121155</v>
      </c>
      <c r="I74" s="17">
        <f t="shared" si="3"/>
        <v>-131508.2247383038</v>
      </c>
    </row>
    <row r="75" spans="1:9" x14ac:dyDescent="0.35">
      <c r="A75" s="11">
        <v>13320.078127384259</v>
      </c>
      <c r="B75" s="20">
        <f t="shared" si="0"/>
        <v>300000</v>
      </c>
      <c r="C75" s="17">
        <f t="shared" si="1"/>
        <v>432405.46891689813</v>
      </c>
      <c r="G75" s="11">
        <v>4849.8794518875693</v>
      </c>
      <c r="H75" s="20">
        <f t="shared" si="2"/>
        <v>242493.97259437846</v>
      </c>
      <c r="I75" s="17">
        <f t="shared" si="3"/>
        <v>-160508.43836787017</v>
      </c>
    </row>
    <row r="76" spans="1:9" x14ac:dyDescent="0.35">
      <c r="A76" s="11">
        <v>12172.124393444625</v>
      </c>
      <c r="B76" s="20">
        <f t="shared" si="0"/>
        <v>300000</v>
      </c>
      <c r="C76" s="17">
        <f t="shared" si="1"/>
        <v>352048.70754112373</v>
      </c>
      <c r="G76" s="11">
        <v>3320.2917569505908</v>
      </c>
      <c r="H76" s="20">
        <f t="shared" si="2"/>
        <v>166014.58784752953</v>
      </c>
      <c r="I76" s="17">
        <f t="shared" si="3"/>
        <v>-267579.57701345865</v>
      </c>
    </row>
    <row r="77" spans="1:9" x14ac:dyDescent="0.35">
      <c r="A77" s="11">
        <v>12860.774559770502</v>
      </c>
      <c r="B77" s="20">
        <f t="shared" si="0"/>
        <v>300000</v>
      </c>
      <c r="C77" s="17">
        <f t="shared" si="1"/>
        <v>400254.21918393509</v>
      </c>
      <c r="G77" s="11">
        <v>5539.139988402967</v>
      </c>
      <c r="H77" s="20">
        <f t="shared" si="2"/>
        <v>276956.99942014832</v>
      </c>
      <c r="I77" s="17">
        <f t="shared" si="3"/>
        <v>-112260.20081179228</v>
      </c>
    </row>
    <row r="78" spans="1:9" x14ac:dyDescent="0.35">
      <c r="A78" s="11">
        <v>15464.156010620442</v>
      </c>
      <c r="B78" s="20">
        <f t="shared" si="0"/>
        <v>300000</v>
      </c>
      <c r="C78" s="17">
        <f t="shared" si="1"/>
        <v>550000</v>
      </c>
      <c r="G78" s="11">
        <v>5550.2792443617054</v>
      </c>
      <c r="H78" s="20">
        <f t="shared" si="2"/>
        <v>277513.96221808525</v>
      </c>
      <c r="I78" s="17">
        <f t="shared" si="3"/>
        <v>-111480.45289468061</v>
      </c>
    </row>
    <row r="79" spans="1:9" x14ac:dyDescent="0.35">
      <c r="A79" s="11">
        <v>16935.605945005645</v>
      </c>
      <c r="B79" s="20">
        <f t="shared" si="0"/>
        <v>300000</v>
      </c>
      <c r="C79" s="17">
        <f t="shared" si="1"/>
        <v>550000</v>
      </c>
      <c r="G79" s="11">
        <v>4340.3729361857968</v>
      </c>
      <c r="H79" s="20">
        <f t="shared" si="2"/>
        <v>217018.64680928984</v>
      </c>
      <c r="I79" s="17">
        <f t="shared" si="3"/>
        <v>-196173.89446699421</v>
      </c>
    </row>
    <row r="80" spans="1:9" x14ac:dyDescent="0.35">
      <c r="A80" s="11">
        <v>12311.441389202551</v>
      </c>
      <c r="B80" s="20">
        <f t="shared" si="0"/>
        <v>300000</v>
      </c>
      <c r="C80" s="17">
        <f t="shared" si="1"/>
        <v>361800.89724417857</v>
      </c>
      <c r="G80" s="11">
        <v>7522.8431043427845</v>
      </c>
      <c r="H80" s="20">
        <f t="shared" si="2"/>
        <v>300000</v>
      </c>
      <c r="I80" s="17">
        <f t="shared" si="3"/>
        <v>26599.017303994857</v>
      </c>
    </row>
    <row r="81" spans="1:9" x14ac:dyDescent="0.35">
      <c r="A81" s="11">
        <v>16409.619434186832</v>
      </c>
      <c r="B81" s="20">
        <f t="shared" si="0"/>
        <v>300000</v>
      </c>
      <c r="C81" s="17">
        <f t="shared" si="1"/>
        <v>550000</v>
      </c>
      <c r="G81" s="11">
        <v>3748.1612598040711</v>
      </c>
      <c r="H81" s="20">
        <f t="shared" si="2"/>
        <v>187408.06299020356</v>
      </c>
      <c r="I81" s="17">
        <f t="shared" si="3"/>
        <v>-237628.71181371505</v>
      </c>
    </row>
    <row r="82" spans="1:9" x14ac:dyDescent="0.35">
      <c r="A82" s="11">
        <v>12144.962920010987</v>
      </c>
      <c r="B82" s="20">
        <f t="shared" si="0"/>
        <v>300000</v>
      </c>
      <c r="C82" s="17">
        <f t="shared" si="1"/>
        <v>350147.40440076904</v>
      </c>
      <c r="G82" s="11">
        <v>6960.8447523422956</v>
      </c>
      <c r="H82" s="20">
        <f t="shared" si="2"/>
        <v>300000</v>
      </c>
      <c r="I82" s="17">
        <f t="shared" si="3"/>
        <v>-12740.867336039315</v>
      </c>
    </row>
    <row r="83" spans="1:9" x14ac:dyDescent="0.35">
      <c r="A83" s="11">
        <v>12224.311044648579</v>
      </c>
      <c r="B83" s="20">
        <f t="shared" si="0"/>
        <v>300000</v>
      </c>
      <c r="C83" s="17">
        <f t="shared" si="1"/>
        <v>355701.77312540053</v>
      </c>
      <c r="G83" s="11">
        <v>6537.2478408154548</v>
      </c>
      <c r="H83" s="20">
        <f t="shared" si="2"/>
        <v>300000</v>
      </c>
      <c r="I83" s="17">
        <f t="shared" si="3"/>
        <v>-42392.651142918156</v>
      </c>
    </row>
    <row r="84" spans="1:9" x14ac:dyDescent="0.35">
      <c r="A84" s="11">
        <v>13506.088442640461</v>
      </c>
      <c r="B84" s="20">
        <f t="shared" si="0"/>
        <v>300000</v>
      </c>
      <c r="C84" s="17">
        <f t="shared" si="1"/>
        <v>445426.19098483224</v>
      </c>
      <c r="G84" s="11">
        <v>3024.8725852229377</v>
      </c>
      <c r="H84" s="20">
        <f t="shared" si="2"/>
        <v>151243.62926114688</v>
      </c>
      <c r="I84" s="17">
        <f t="shared" si="3"/>
        <v>-288258.91903439432</v>
      </c>
    </row>
    <row r="85" spans="1:9" x14ac:dyDescent="0.35">
      <c r="A85" s="11">
        <v>12472.426526688436</v>
      </c>
      <c r="B85" s="20">
        <f t="shared" si="0"/>
        <v>300000</v>
      </c>
      <c r="C85" s="17">
        <f t="shared" si="1"/>
        <v>373069.85686819046</v>
      </c>
      <c r="G85" s="11">
        <v>6833.8877529221472</v>
      </c>
      <c r="H85" s="20">
        <f t="shared" si="2"/>
        <v>300000</v>
      </c>
      <c r="I85" s="17">
        <f t="shared" si="3"/>
        <v>-21627.857295449707</v>
      </c>
    </row>
    <row r="86" spans="1:9" x14ac:dyDescent="0.35">
      <c r="A86" s="11">
        <v>12526.749473555712</v>
      </c>
      <c r="B86" s="20">
        <f t="shared" si="0"/>
        <v>300000</v>
      </c>
      <c r="C86" s="17">
        <f t="shared" si="1"/>
        <v>376872.46314889984</v>
      </c>
      <c r="G86" s="11">
        <v>6320.5664235358745</v>
      </c>
      <c r="H86" s="20">
        <f t="shared" si="2"/>
        <v>300000</v>
      </c>
      <c r="I86" s="17">
        <f t="shared" si="3"/>
        <v>-57560.350352488807</v>
      </c>
    </row>
    <row r="87" spans="1:9" x14ac:dyDescent="0.35">
      <c r="A87" s="11">
        <v>12838.496047853023</v>
      </c>
      <c r="B87" s="20">
        <f t="shared" si="0"/>
        <v>300000</v>
      </c>
      <c r="C87" s="17">
        <f t="shared" si="1"/>
        <v>398694.72334971162</v>
      </c>
      <c r="G87" s="11">
        <v>5430.4940946684164</v>
      </c>
      <c r="H87" s="20">
        <f t="shared" si="2"/>
        <v>271524.7047334208</v>
      </c>
      <c r="I87" s="17">
        <f t="shared" si="3"/>
        <v>-119865.41337321087</v>
      </c>
    </row>
    <row r="88" spans="1:9" x14ac:dyDescent="0.35">
      <c r="A88" s="11">
        <v>13972.716452528459</v>
      </c>
      <c r="B88" s="20">
        <f t="shared" si="0"/>
        <v>300000</v>
      </c>
      <c r="C88" s="17">
        <f t="shared" si="1"/>
        <v>478090.15167699207</v>
      </c>
      <c r="G88" s="11">
        <v>6959.9291970580161</v>
      </c>
      <c r="H88" s="20">
        <f t="shared" si="2"/>
        <v>300000</v>
      </c>
      <c r="I88" s="17">
        <f t="shared" si="3"/>
        <v>-12804.956205938885</v>
      </c>
    </row>
    <row r="89" spans="1:9" x14ac:dyDescent="0.35">
      <c r="A89" s="11">
        <v>16381.389812921538</v>
      </c>
      <c r="B89" s="20">
        <f t="shared" si="0"/>
        <v>300000</v>
      </c>
      <c r="C89" s="17">
        <f t="shared" si="1"/>
        <v>550000</v>
      </c>
      <c r="G89" s="11">
        <v>3584.734641560106</v>
      </c>
      <c r="H89" s="20">
        <f t="shared" si="2"/>
        <v>179236.7320780053</v>
      </c>
      <c r="I89" s="17">
        <f t="shared" si="3"/>
        <v>-249068.57509079258</v>
      </c>
    </row>
    <row r="90" spans="1:9" x14ac:dyDescent="0.35">
      <c r="A90" s="11">
        <v>13164.586321604053</v>
      </c>
      <c r="B90" s="20">
        <f t="shared" si="0"/>
        <v>300000</v>
      </c>
      <c r="C90" s="17">
        <f t="shared" si="1"/>
        <v>421521.04251228366</v>
      </c>
      <c r="G90" s="11">
        <v>4198.91964476455</v>
      </c>
      <c r="H90" s="20">
        <f t="shared" si="2"/>
        <v>209945.9822382275</v>
      </c>
      <c r="I90" s="17">
        <f t="shared" si="3"/>
        <v>-206075.62486648152</v>
      </c>
    </row>
    <row r="91" spans="1:9" x14ac:dyDescent="0.35">
      <c r="A91" s="11">
        <v>13958.6779381695</v>
      </c>
      <c r="B91" s="20">
        <f t="shared" si="0"/>
        <v>300000</v>
      </c>
      <c r="C91" s="17">
        <f t="shared" si="1"/>
        <v>477107.45567186503</v>
      </c>
      <c r="G91" s="11">
        <v>6004.5472579119232</v>
      </c>
      <c r="H91" s="20">
        <f t="shared" si="2"/>
        <v>300000</v>
      </c>
      <c r="I91" s="17">
        <f t="shared" si="3"/>
        <v>-79681.691946165403</v>
      </c>
    </row>
    <row r="92" spans="1:9" x14ac:dyDescent="0.35">
      <c r="A92" s="11">
        <v>16130.680257576219</v>
      </c>
      <c r="B92" s="20">
        <f t="shared" si="0"/>
        <v>300000</v>
      </c>
      <c r="C92" s="17">
        <f t="shared" si="1"/>
        <v>550000</v>
      </c>
      <c r="G92" s="11">
        <v>6799.4018372142709</v>
      </c>
      <c r="H92" s="20">
        <f t="shared" si="2"/>
        <v>300000</v>
      </c>
      <c r="I92" s="17">
        <f t="shared" si="3"/>
        <v>-24041.871395001013</v>
      </c>
    </row>
    <row r="93" spans="1:9" x14ac:dyDescent="0.35">
      <c r="A93" s="11">
        <v>14494.735557115389</v>
      </c>
      <c r="B93" s="20">
        <f t="shared" si="0"/>
        <v>300000</v>
      </c>
      <c r="C93" s="17">
        <f t="shared" si="1"/>
        <v>514631.48899807723</v>
      </c>
      <c r="G93" s="11">
        <v>6812.9825739310891</v>
      </c>
      <c r="H93" s="20">
        <f t="shared" si="2"/>
        <v>300000</v>
      </c>
      <c r="I93" s="17">
        <f t="shared" si="3"/>
        <v>-23091.219824823784</v>
      </c>
    </row>
    <row r="94" spans="1:9" x14ac:dyDescent="0.35">
      <c r="A94" s="11">
        <v>16636.066774498733</v>
      </c>
      <c r="B94" s="20">
        <f t="shared" si="0"/>
        <v>300000</v>
      </c>
      <c r="C94" s="17">
        <f t="shared" si="1"/>
        <v>550000</v>
      </c>
      <c r="G94" s="11">
        <v>3979.79674672689</v>
      </c>
      <c r="H94" s="20">
        <f t="shared" si="2"/>
        <v>198989.8373363445</v>
      </c>
      <c r="I94" s="17">
        <f t="shared" si="3"/>
        <v>-221414.22772911773</v>
      </c>
    </row>
    <row r="95" spans="1:9" x14ac:dyDescent="0.35">
      <c r="A95" s="11">
        <v>15393.505661183508</v>
      </c>
      <c r="B95" s="20">
        <f t="shared" si="0"/>
        <v>300000</v>
      </c>
      <c r="C95" s="17">
        <f t="shared" si="1"/>
        <v>550000</v>
      </c>
      <c r="G95" s="11">
        <v>5150.9445478682819</v>
      </c>
      <c r="H95" s="20">
        <f t="shared" si="2"/>
        <v>257547.2273934141</v>
      </c>
      <c r="I95" s="17">
        <f t="shared" si="3"/>
        <v>-139433.88164922025</v>
      </c>
    </row>
    <row r="96" spans="1:9" x14ac:dyDescent="0.35">
      <c r="A96" s="11">
        <v>15429.670094912564</v>
      </c>
      <c r="B96" s="20">
        <f t="shared" si="0"/>
        <v>300000</v>
      </c>
      <c r="C96" s="17">
        <f t="shared" si="1"/>
        <v>550000</v>
      </c>
      <c r="G96" s="11">
        <v>3237.8917813653979</v>
      </c>
      <c r="H96" s="20">
        <f t="shared" si="2"/>
        <v>161894.58906826991</v>
      </c>
      <c r="I96" s="17">
        <f t="shared" si="3"/>
        <v>-273347.57530442218</v>
      </c>
    </row>
    <row r="97" spans="1:9" x14ac:dyDescent="0.35">
      <c r="A97" s="11">
        <v>13335.947752311777</v>
      </c>
      <c r="B97" s="20">
        <f t="shared" si="0"/>
        <v>300000</v>
      </c>
      <c r="C97" s="17">
        <f t="shared" si="1"/>
        <v>433516.34266182431</v>
      </c>
      <c r="G97" s="11">
        <v>7825.739310892056</v>
      </c>
      <c r="H97" s="20">
        <f t="shared" si="2"/>
        <v>300000</v>
      </c>
      <c r="I97" s="17">
        <f t="shared" si="3"/>
        <v>47801.751762443921</v>
      </c>
    </row>
    <row r="98" spans="1:9" x14ac:dyDescent="0.35">
      <c r="A98" s="11">
        <v>12249.794000061038</v>
      </c>
      <c r="B98" s="20">
        <f t="shared" ref="B98:B161" si="4">50*MIN(6000,A98)</f>
        <v>300000</v>
      </c>
      <c r="C98" s="17">
        <f t="shared" ref="C98:C161" si="5">70*MIN(15000,A98)-500000</f>
        <v>357485.58000427263</v>
      </c>
      <c r="G98" s="11">
        <v>4066.927091280862</v>
      </c>
      <c r="H98" s="20">
        <f t="shared" ref="H98:H161" si="6">50*MIN(6000,G98)</f>
        <v>203346.35456404311</v>
      </c>
      <c r="I98" s="17">
        <f t="shared" ref="I98:I161" si="7">70*MIN(15000,G98)-500000</f>
        <v>-215315.10361033963</v>
      </c>
    </row>
    <row r="99" spans="1:9" x14ac:dyDescent="0.35">
      <c r="A99" s="11">
        <v>15078.249458296457</v>
      </c>
      <c r="B99" s="20">
        <f t="shared" si="4"/>
        <v>300000</v>
      </c>
      <c r="C99" s="17">
        <f t="shared" si="5"/>
        <v>550000</v>
      </c>
      <c r="G99" s="11">
        <v>3178.5332804345835</v>
      </c>
      <c r="H99" s="20">
        <f t="shared" si="6"/>
        <v>158926.66402172917</v>
      </c>
      <c r="I99" s="17">
        <f t="shared" si="7"/>
        <v>-277502.67036957917</v>
      </c>
    </row>
    <row r="100" spans="1:9" x14ac:dyDescent="0.35">
      <c r="A100" s="11">
        <v>12978.42341380047</v>
      </c>
      <c r="B100" s="20">
        <f t="shared" si="4"/>
        <v>300000</v>
      </c>
      <c r="C100" s="17">
        <f t="shared" si="5"/>
        <v>408489.63896603289</v>
      </c>
      <c r="G100" s="11">
        <v>6289.5901364177371</v>
      </c>
      <c r="H100" s="20">
        <f t="shared" si="6"/>
        <v>300000</v>
      </c>
      <c r="I100" s="17">
        <f t="shared" si="7"/>
        <v>-59728.690450758382</v>
      </c>
    </row>
    <row r="101" spans="1:9" x14ac:dyDescent="0.35">
      <c r="A101" s="11">
        <v>12336.16138187811</v>
      </c>
      <c r="B101" s="20">
        <f t="shared" si="4"/>
        <v>300000</v>
      </c>
      <c r="C101" s="17">
        <f t="shared" si="5"/>
        <v>363531.29673146771</v>
      </c>
      <c r="G101" s="11">
        <v>6261.5131076998205</v>
      </c>
      <c r="H101" s="20">
        <f t="shared" si="6"/>
        <v>300000</v>
      </c>
      <c r="I101" s="17">
        <f t="shared" si="7"/>
        <v>-61694.082461012586</v>
      </c>
    </row>
    <row r="102" spans="1:9" x14ac:dyDescent="0.35">
      <c r="A102" s="11">
        <v>15944.212164677878</v>
      </c>
      <c r="B102" s="20">
        <f t="shared" si="4"/>
        <v>300000</v>
      </c>
      <c r="C102" s="17">
        <f t="shared" si="5"/>
        <v>550000</v>
      </c>
      <c r="G102" s="11">
        <v>4005.2797021393476</v>
      </c>
      <c r="H102" s="20">
        <f t="shared" si="6"/>
        <v>200263.98510696739</v>
      </c>
      <c r="I102" s="17">
        <f t="shared" si="7"/>
        <v>-219630.42085024569</v>
      </c>
    </row>
    <row r="103" spans="1:9" x14ac:dyDescent="0.35">
      <c r="A103" s="11">
        <v>15005.767998290963</v>
      </c>
      <c r="B103" s="20">
        <f t="shared" si="4"/>
        <v>300000</v>
      </c>
      <c r="C103" s="17">
        <f t="shared" si="5"/>
        <v>550000</v>
      </c>
      <c r="G103" s="11">
        <v>3574.205755790887</v>
      </c>
      <c r="H103" s="20">
        <f t="shared" si="6"/>
        <v>178710.28778954435</v>
      </c>
      <c r="I103" s="17">
        <f t="shared" si="7"/>
        <v>-249805.59709463792</v>
      </c>
    </row>
    <row r="104" spans="1:9" x14ac:dyDescent="0.35">
      <c r="A104" s="11">
        <v>15876.613666188543</v>
      </c>
      <c r="B104" s="20">
        <f t="shared" si="4"/>
        <v>300000</v>
      </c>
      <c r="C104" s="17">
        <f t="shared" si="5"/>
        <v>550000</v>
      </c>
      <c r="G104" s="11">
        <v>6628.8033692434465</v>
      </c>
      <c r="H104" s="20">
        <f t="shared" si="6"/>
        <v>300000</v>
      </c>
      <c r="I104" s="17">
        <f t="shared" si="7"/>
        <v>-35983.764152958756</v>
      </c>
    </row>
    <row r="105" spans="1:9" x14ac:dyDescent="0.35">
      <c r="A105" s="11">
        <v>13460.768456068607</v>
      </c>
      <c r="B105" s="20">
        <f t="shared" si="4"/>
        <v>300000</v>
      </c>
      <c r="C105" s="17">
        <f t="shared" si="5"/>
        <v>442253.79192480247</v>
      </c>
      <c r="G105" s="11">
        <v>4190.98483230079</v>
      </c>
      <c r="H105" s="20">
        <f t="shared" si="6"/>
        <v>209549.2416150395</v>
      </c>
      <c r="I105" s="17">
        <f t="shared" si="7"/>
        <v>-206631.06173894473</v>
      </c>
    </row>
    <row r="106" spans="1:9" x14ac:dyDescent="0.35">
      <c r="A106" s="11">
        <v>14530.137028107547</v>
      </c>
      <c r="B106" s="20">
        <f t="shared" si="4"/>
        <v>300000</v>
      </c>
      <c r="C106" s="17">
        <f t="shared" si="5"/>
        <v>517109.59196752834</v>
      </c>
      <c r="G106" s="11">
        <v>7799.4933927426982</v>
      </c>
      <c r="H106" s="20">
        <f t="shared" si="6"/>
        <v>300000</v>
      </c>
      <c r="I106" s="17">
        <f t="shared" si="7"/>
        <v>45964.537491988856</v>
      </c>
    </row>
    <row r="107" spans="1:9" x14ac:dyDescent="0.35">
      <c r="A107" s="11">
        <v>14120.731223487044</v>
      </c>
      <c r="B107" s="20">
        <f t="shared" si="4"/>
        <v>300000</v>
      </c>
      <c r="C107" s="17">
        <f t="shared" si="5"/>
        <v>488451.18564409309</v>
      </c>
      <c r="G107" s="11">
        <v>6172.8568376720477</v>
      </c>
      <c r="H107" s="20">
        <f t="shared" si="6"/>
        <v>300000</v>
      </c>
      <c r="I107" s="17">
        <f t="shared" si="7"/>
        <v>-67900.021362956672</v>
      </c>
    </row>
    <row r="108" spans="1:9" x14ac:dyDescent="0.35">
      <c r="A108" s="11">
        <v>16658.497878963593</v>
      </c>
      <c r="B108" s="20">
        <f t="shared" si="4"/>
        <v>300000</v>
      </c>
      <c r="C108" s="17">
        <f t="shared" si="5"/>
        <v>550000</v>
      </c>
      <c r="G108" s="11">
        <v>6706.6255684072385</v>
      </c>
      <c r="H108" s="20">
        <f t="shared" si="6"/>
        <v>300000</v>
      </c>
      <c r="I108" s="17">
        <f t="shared" si="7"/>
        <v>-30536.210211493308</v>
      </c>
    </row>
    <row r="109" spans="1:9" x14ac:dyDescent="0.35">
      <c r="A109" s="11">
        <v>13503.036591692862</v>
      </c>
      <c r="B109" s="20">
        <f t="shared" si="4"/>
        <v>300000</v>
      </c>
      <c r="C109" s="17">
        <f t="shared" si="5"/>
        <v>445212.56141850038</v>
      </c>
      <c r="G109" s="11">
        <v>5894.0702536088138</v>
      </c>
      <c r="H109" s="20">
        <f t="shared" si="6"/>
        <v>294703.51268044068</v>
      </c>
      <c r="I109" s="17">
        <f t="shared" si="7"/>
        <v>-87415.082247383019</v>
      </c>
    </row>
    <row r="110" spans="1:9" x14ac:dyDescent="0.35">
      <c r="A110" s="11">
        <v>16937.284463026826</v>
      </c>
      <c r="B110" s="20">
        <f t="shared" si="4"/>
        <v>300000</v>
      </c>
      <c r="C110" s="17">
        <f t="shared" si="5"/>
        <v>550000</v>
      </c>
      <c r="G110" s="11">
        <v>5209.9978637043369</v>
      </c>
      <c r="H110" s="20">
        <f t="shared" si="6"/>
        <v>260499.89318521685</v>
      </c>
      <c r="I110" s="17">
        <f t="shared" si="7"/>
        <v>-135300.14954069641</v>
      </c>
    </row>
    <row r="111" spans="1:9" x14ac:dyDescent="0.35">
      <c r="A111" s="11">
        <v>15206.427198095646</v>
      </c>
      <c r="B111" s="20">
        <f t="shared" si="4"/>
        <v>300000</v>
      </c>
      <c r="C111" s="17">
        <f t="shared" si="5"/>
        <v>550000</v>
      </c>
      <c r="G111" s="11">
        <v>6390.7589953306688</v>
      </c>
      <c r="H111" s="20">
        <f t="shared" si="6"/>
        <v>300000</v>
      </c>
      <c r="I111" s="17">
        <f t="shared" si="7"/>
        <v>-52646.870326853183</v>
      </c>
    </row>
    <row r="112" spans="1:9" x14ac:dyDescent="0.35">
      <c r="A112" s="11">
        <v>15755.455183568834</v>
      </c>
      <c r="B112" s="20">
        <f t="shared" si="4"/>
        <v>300000</v>
      </c>
      <c r="C112" s="17">
        <f t="shared" si="5"/>
        <v>550000</v>
      </c>
      <c r="G112" s="11">
        <v>3674.1538743247779</v>
      </c>
      <c r="H112" s="20">
        <f t="shared" si="6"/>
        <v>183707.69371623889</v>
      </c>
      <c r="I112" s="17">
        <f t="shared" si="7"/>
        <v>-242809.22879726553</v>
      </c>
    </row>
    <row r="113" spans="1:9" x14ac:dyDescent="0.35">
      <c r="A113" s="11">
        <v>12323.80138554033</v>
      </c>
      <c r="B113" s="20">
        <f t="shared" si="4"/>
        <v>300000</v>
      </c>
      <c r="C113" s="17">
        <f t="shared" si="5"/>
        <v>362666.09698782302</v>
      </c>
      <c r="G113" s="11">
        <v>7215.3691213721122</v>
      </c>
      <c r="H113" s="20">
        <f t="shared" si="6"/>
        <v>300000</v>
      </c>
      <c r="I113" s="17">
        <f t="shared" si="7"/>
        <v>5075.8384960478288</v>
      </c>
    </row>
    <row r="114" spans="1:9" x14ac:dyDescent="0.35">
      <c r="A114" s="11">
        <v>12617.999816888943</v>
      </c>
      <c r="B114" s="20">
        <f t="shared" si="4"/>
        <v>300000</v>
      </c>
      <c r="C114" s="17">
        <f t="shared" si="5"/>
        <v>383259.98718222603</v>
      </c>
      <c r="G114" s="11">
        <v>4311.5329447309796</v>
      </c>
      <c r="H114" s="20">
        <f t="shared" si="6"/>
        <v>215576.64723654898</v>
      </c>
      <c r="I114" s="17">
        <f t="shared" si="7"/>
        <v>-198192.69386883144</v>
      </c>
    </row>
    <row r="115" spans="1:9" x14ac:dyDescent="0.35">
      <c r="A115" s="11">
        <v>15298.745689260537</v>
      </c>
      <c r="B115" s="20">
        <f t="shared" si="4"/>
        <v>300000</v>
      </c>
      <c r="C115" s="17">
        <f t="shared" si="5"/>
        <v>550000</v>
      </c>
      <c r="G115" s="11">
        <v>5681.3562425611126</v>
      </c>
      <c r="H115" s="20">
        <f t="shared" si="6"/>
        <v>284067.81212805561</v>
      </c>
      <c r="I115" s="17">
        <f t="shared" si="7"/>
        <v>-102305.06302072213</v>
      </c>
    </row>
    <row r="116" spans="1:9" x14ac:dyDescent="0.35">
      <c r="A116" s="11">
        <v>13380.657368694112</v>
      </c>
      <c r="B116" s="20">
        <f t="shared" si="4"/>
        <v>300000</v>
      </c>
      <c r="C116" s="17">
        <f t="shared" si="5"/>
        <v>436646.01580858789</v>
      </c>
      <c r="G116" s="11">
        <v>3642.7198095645008</v>
      </c>
      <c r="H116" s="20">
        <f t="shared" si="6"/>
        <v>182135.99047822505</v>
      </c>
      <c r="I116" s="17">
        <f t="shared" si="7"/>
        <v>-245009.61333048495</v>
      </c>
    </row>
    <row r="117" spans="1:9" x14ac:dyDescent="0.35">
      <c r="A117" s="11">
        <v>12821.100497451704</v>
      </c>
      <c r="B117" s="20">
        <f t="shared" si="4"/>
        <v>300000</v>
      </c>
      <c r="C117" s="17">
        <f t="shared" si="5"/>
        <v>397477.03482161928</v>
      </c>
      <c r="G117" s="11">
        <v>5906.4302499465921</v>
      </c>
      <c r="H117" s="20">
        <f t="shared" si="6"/>
        <v>295321.51249732962</v>
      </c>
      <c r="I117" s="17">
        <f t="shared" si="7"/>
        <v>-86549.882503738569</v>
      </c>
    </row>
    <row r="118" spans="1:9" x14ac:dyDescent="0.35">
      <c r="A118" s="11">
        <v>14766.045106357005</v>
      </c>
      <c r="B118" s="20">
        <f t="shared" si="4"/>
        <v>300000</v>
      </c>
      <c r="C118" s="17">
        <f t="shared" si="5"/>
        <v>533623.15744499036</v>
      </c>
      <c r="G118" s="11">
        <v>6089.5413068025755</v>
      </c>
      <c r="H118" s="20">
        <f t="shared" si="6"/>
        <v>300000</v>
      </c>
      <c r="I118" s="17">
        <f t="shared" si="7"/>
        <v>-73732.108523819712</v>
      </c>
    </row>
    <row r="119" spans="1:9" x14ac:dyDescent="0.35">
      <c r="A119" s="11">
        <v>16655.751213110751</v>
      </c>
      <c r="B119" s="20">
        <f t="shared" si="4"/>
        <v>300000</v>
      </c>
      <c r="C119" s="17">
        <f t="shared" si="5"/>
        <v>550000</v>
      </c>
      <c r="G119" s="11">
        <v>5866.1458174382769</v>
      </c>
      <c r="H119" s="20">
        <f t="shared" si="6"/>
        <v>293307.29087191384</v>
      </c>
      <c r="I119" s="17">
        <f t="shared" si="7"/>
        <v>-89369.792779320618</v>
      </c>
    </row>
    <row r="120" spans="1:9" x14ac:dyDescent="0.35">
      <c r="A120" s="11">
        <v>14744.987334818568</v>
      </c>
      <c r="B120" s="20">
        <f t="shared" si="4"/>
        <v>300000</v>
      </c>
      <c r="C120" s="17">
        <f t="shared" si="5"/>
        <v>532149.11343729973</v>
      </c>
      <c r="G120" s="11">
        <v>4314.8899807733396</v>
      </c>
      <c r="H120" s="20">
        <f t="shared" si="6"/>
        <v>215744.49903866698</v>
      </c>
      <c r="I120" s="17">
        <f t="shared" si="7"/>
        <v>-197957.7013458662</v>
      </c>
    </row>
    <row r="121" spans="1:9" x14ac:dyDescent="0.35">
      <c r="A121" s="11">
        <v>15908.505508590961</v>
      </c>
      <c r="B121" s="20">
        <f t="shared" si="4"/>
        <v>300000</v>
      </c>
      <c r="C121" s="17">
        <f t="shared" si="5"/>
        <v>550000</v>
      </c>
      <c r="G121" s="11">
        <v>6861.2018189031651</v>
      </c>
      <c r="H121" s="20">
        <f t="shared" si="6"/>
        <v>300000</v>
      </c>
      <c r="I121" s="17">
        <f t="shared" si="7"/>
        <v>-19715.872676778468</v>
      </c>
    </row>
    <row r="122" spans="1:9" x14ac:dyDescent="0.35">
      <c r="A122" s="11">
        <v>13504.562517166662</v>
      </c>
      <c r="B122" s="20">
        <f t="shared" si="4"/>
        <v>300000</v>
      </c>
      <c r="C122" s="17">
        <f t="shared" si="5"/>
        <v>445319.37620166631</v>
      </c>
      <c r="G122" s="11">
        <v>4360.667744987335</v>
      </c>
      <c r="H122" s="20">
        <f t="shared" si="6"/>
        <v>218033.38724936676</v>
      </c>
      <c r="I122" s="17">
        <f t="shared" si="7"/>
        <v>-194753.25785088656</v>
      </c>
    </row>
    <row r="123" spans="1:9" x14ac:dyDescent="0.35">
      <c r="A123" s="11">
        <v>12815.454573198645</v>
      </c>
      <c r="B123" s="20">
        <f t="shared" si="4"/>
        <v>300000</v>
      </c>
      <c r="C123" s="17">
        <f t="shared" si="5"/>
        <v>397081.8201239052</v>
      </c>
      <c r="G123" s="11">
        <v>7499.6490371410255</v>
      </c>
      <c r="H123" s="20">
        <f t="shared" si="6"/>
        <v>300000</v>
      </c>
      <c r="I123" s="17">
        <f t="shared" si="7"/>
        <v>24975.432599871769</v>
      </c>
    </row>
    <row r="124" spans="1:9" x14ac:dyDescent="0.35">
      <c r="A124" s="11">
        <v>15008.209479049043</v>
      </c>
      <c r="B124" s="20">
        <f t="shared" si="4"/>
        <v>300000</v>
      </c>
      <c r="C124" s="17">
        <f t="shared" si="5"/>
        <v>550000</v>
      </c>
      <c r="G124" s="11">
        <v>5513.6570329905089</v>
      </c>
      <c r="H124" s="20">
        <f t="shared" si="6"/>
        <v>275682.85164952546</v>
      </c>
      <c r="I124" s="17">
        <f t="shared" si="7"/>
        <v>-114044.00769066438</v>
      </c>
    </row>
    <row r="125" spans="1:9" x14ac:dyDescent="0.35">
      <c r="A125" s="11">
        <v>16284.340952787865</v>
      </c>
      <c r="B125" s="20">
        <f t="shared" si="4"/>
        <v>300000</v>
      </c>
      <c r="C125" s="17">
        <f t="shared" si="5"/>
        <v>550000</v>
      </c>
      <c r="G125" s="11">
        <v>3649.7390667439804</v>
      </c>
      <c r="H125" s="20">
        <f t="shared" si="6"/>
        <v>182486.95333719903</v>
      </c>
      <c r="I125" s="17">
        <f t="shared" si="7"/>
        <v>-244518.26532792137</v>
      </c>
    </row>
    <row r="126" spans="1:9" x14ac:dyDescent="0.35">
      <c r="A126" s="11">
        <v>16703.665272988066</v>
      </c>
      <c r="B126" s="20">
        <f t="shared" si="4"/>
        <v>300000</v>
      </c>
      <c r="C126" s="17">
        <f t="shared" si="5"/>
        <v>550000</v>
      </c>
      <c r="G126" s="11">
        <v>6796.1973937192906</v>
      </c>
      <c r="H126" s="20">
        <f t="shared" si="6"/>
        <v>300000</v>
      </c>
      <c r="I126" s="17">
        <f t="shared" si="7"/>
        <v>-24266.182439649652</v>
      </c>
    </row>
    <row r="127" spans="1:9" x14ac:dyDescent="0.35">
      <c r="A127" s="11">
        <v>16772.7896969512</v>
      </c>
      <c r="B127" s="20">
        <f t="shared" si="4"/>
        <v>300000</v>
      </c>
      <c r="C127" s="17">
        <f t="shared" si="5"/>
        <v>550000</v>
      </c>
      <c r="G127" s="11">
        <v>4923.7342448194831</v>
      </c>
      <c r="H127" s="20">
        <f t="shared" si="6"/>
        <v>246186.71224097416</v>
      </c>
      <c r="I127" s="17">
        <f t="shared" si="7"/>
        <v>-155338.60286263621</v>
      </c>
    </row>
    <row r="128" spans="1:9" x14ac:dyDescent="0.35">
      <c r="A128" s="11">
        <v>12873.744926297799</v>
      </c>
      <c r="B128" s="20">
        <f t="shared" si="4"/>
        <v>300000</v>
      </c>
      <c r="C128" s="17">
        <f t="shared" si="5"/>
        <v>401162.14484084595</v>
      </c>
      <c r="G128" s="11">
        <v>4644.9476607562483</v>
      </c>
      <c r="H128" s="20">
        <f t="shared" si="6"/>
        <v>232247.38303781243</v>
      </c>
      <c r="I128" s="17">
        <f t="shared" si="7"/>
        <v>-174853.66374706262</v>
      </c>
    </row>
    <row r="129" spans="1:9" x14ac:dyDescent="0.35">
      <c r="A129" s="11">
        <v>12274.056215094455</v>
      </c>
      <c r="B129" s="20">
        <f t="shared" si="4"/>
        <v>300000</v>
      </c>
      <c r="C129" s="17">
        <f t="shared" si="5"/>
        <v>359183.9350566119</v>
      </c>
      <c r="G129" s="11">
        <v>5257.1489608447519</v>
      </c>
      <c r="H129" s="20">
        <f t="shared" si="6"/>
        <v>262857.44804223761</v>
      </c>
      <c r="I129" s="17">
        <f t="shared" si="7"/>
        <v>-131999.57274086738</v>
      </c>
    </row>
    <row r="130" spans="1:9" x14ac:dyDescent="0.35">
      <c r="A130" s="11">
        <v>13578.112125003816</v>
      </c>
      <c r="B130" s="20">
        <f t="shared" si="4"/>
        <v>300000</v>
      </c>
      <c r="C130" s="17">
        <f t="shared" si="5"/>
        <v>450467.84875026706</v>
      </c>
      <c r="G130" s="11">
        <v>5330.5459761345255</v>
      </c>
      <c r="H130" s="20">
        <f t="shared" si="6"/>
        <v>266527.29880672629</v>
      </c>
      <c r="I130" s="17">
        <f t="shared" si="7"/>
        <v>-126861.78167058324</v>
      </c>
    </row>
    <row r="131" spans="1:9" x14ac:dyDescent="0.35">
      <c r="A131" s="11">
        <v>15806.57368694113</v>
      </c>
      <c r="B131" s="20">
        <f t="shared" si="4"/>
        <v>300000</v>
      </c>
      <c r="C131" s="17">
        <f t="shared" si="5"/>
        <v>550000</v>
      </c>
      <c r="G131" s="11">
        <v>3167.8518021179843</v>
      </c>
      <c r="H131" s="20">
        <f t="shared" si="6"/>
        <v>158392.5901058992</v>
      </c>
      <c r="I131" s="17">
        <f t="shared" si="7"/>
        <v>-278250.37385174108</v>
      </c>
    </row>
    <row r="132" spans="1:9" x14ac:dyDescent="0.35">
      <c r="A132" s="11">
        <v>14231.971190527054</v>
      </c>
      <c r="B132" s="20">
        <f t="shared" si="4"/>
        <v>300000</v>
      </c>
      <c r="C132" s="17">
        <f t="shared" si="5"/>
        <v>496237.98333689384</v>
      </c>
      <c r="G132" s="11">
        <v>6623.4626300851469</v>
      </c>
      <c r="H132" s="20">
        <f t="shared" si="6"/>
        <v>300000</v>
      </c>
      <c r="I132" s="17">
        <f t="shared" si="7"/>
        <v>-36357.615894039744</v>
      </c>
    </row>
    <row r="133" spans="1:9" x14ac:dyDescent="0.35">
      <c r="A133" s="11">
        <v>15526.108584856716</v>
      </c>
      <c r="B133" s="20">
        <f t="shared" si="4"/>
        <v>300000</v>
      </c>
      <c r="C133" s="17">
        <f t="shared" si="5"/>
        <v>550000</v>
      </c>
      <c r="G133" s="11">
        <v>4433.3017975402081</v>
      </c>
      <c r="H133" s="20">
        <f t="shared" si="6"/>
        <v>221665.08987701041</v>
      </c>
      <c r="I133" s="17">
        <f t="shared" si="7"/>
        <v>-189668.87417218543</v>
      </c>
    </row>
    <row r="134" spans="1:9" x14ac:dyDescent="0.35">
      <c r="A134" s="11">
        <v>13727.500228888821</v>
      </c>
      <c r="B134" s="20">
        <f t="shared" si="4"/>
        <v>300000</v>
      </c>
      <c r="C134" s="17">
        <f t="shared" si="5"/>
        <v>460925.01602221746</v>
      </c>
      <c r="G134" s="11">
        <v>6735.3129673146759</v>
      </c>
      <c r="H134" s="20">
        <f t="shared" si="6"/>
        <v>300000</v>
      </c>
      <c r="I134" s="17">
        <f t="shared" si="7"/>
        <v>-28528.092287972686</v>
      </c>
    </row>
    <row r="135" spans="1:9" x14ac:dyDescent="0.35">
      <c r="A135" s="11">
        <v>14988.830225531785</v>
      </c>
      <c r="B135" s="20">
        <f t="shared" si="4"/>
        <v>300000</v>
      </c>
      <c r="C135" s="17">
        <f t="shared" si="5"/>
        <v>549218.11578722484</v>
      </c>
      <c r="G135" s="11">
        <v>4350.9018219550153</v>
      </c>
      <c r="H135" s="20">
        <f t="shared" si="6"/>
        <v>217545.09109775076</v>
      </c>
      <c r="I135" s="17">
        <f t="shared" si="7"/>
        <v>-195436.8724631489</v>
      </c>
    </row>
    <row r="136" spans="1:9" x14ac:dyDescent="0.35">
      <c r="A136" s="11">
        <v>14758.110293893245</v>
      </c>
      <c r="B136" s="20">
        <f t="shared" si="4"/>
        <v>300000</v>
      </c>
      <c r="C136" s="17">
        <f t="shared" si="5"/>
        <v>533067.72057252715</v>
      </c>
      <c r="G136" s="11">
        <v>5290.1089510788297</v>
      </c>
      <c r="H136" s="20">
        <f t="shared" si="6"/>
        <v>264505.44755394151</v>
      </c>
      <c r="I136" s="17">
        <f t="shared" si="7"/>
        <v>-129692.37342448195</v>
      </c>
    </row>
    <row r="137" spans="1:9" x14ac:dyDescent="0.35">
      <c r="A137" s="11">
        <v>13840.876491592151</v>
      </c>
      <c r="B137" s="20">
        <f t="shared" si="4"/>
        <v>300000</v>
      </c>
      <c r="C137" s="17">
        <f t="shared" si="5"/>
        <v>468861.35441145056</v>
      </c>
      <c r="G137" s="11">
        <v>6561.3574633014923</v>
      </c>
      <c r="H137" s="20">
        <f t="shared" si="6"/>
        <v>300000</v>
      </c>
      <c r="I137" s="17">
        <f t="shared" si="7"/>
        <v>-40704.977568895556</v>
      </c>
    </row>
    <row r="138" spans="1:9" x14ac:dyDescent="0.35">
      <c r="A138" s="11">
        <v>16769.280068361462</v>
      </c>
      <c r="B138" s="20">
        <f t="shared" si="4"/>
        <v>300000</v>
      </c>
      <c r="C138" s="17">
        <f t="shared" si="5"/>
        <v>550000</v>
      </c>
      <c r="G138" s="11">
        <v>6641.4685506759852</v>
      </c>
      <c r="H138" s="20">
        <f t="shared" si="6"/>
        <v>300000</v>
      </c>
      <c r="I138" s="17">
        <f t="shared" si="7"/>
        <v>-35097.201452681038</v>
      </c>
    </row>
    <row r="139" spans="1:9" x14ac:dyDescent="0.35">
      <c r="A139" s="11">
        <v>13906.033509323404</v>
      </c>
      <c r="B139" s="20">
        <f t="shared" si="4"/>
        <v>300000</v>
      </c>
      <c r="C139" s="17">
        <f t="shared" si="5"/>
        <v>473422.34565263835</v>
      </c>
      <c r="G139" s="11">
        <v>3741.2945951719721</v>
      </c>
      <c r="H139" s="20">
        <f t="shared" si="6"/>
        <v>187064.72975859861</v>
      </c>
      <c r="I139" s="17">
        <f t="shared" si="7"/>
        <v>-238109.37833796194</v>
      </c>
    </row>
    <row r="140" spans="1:9" x14ac:dyDescent="0.35">
      <c r="A140" s="11">
        <v>12871.91381572924</v>
      </c>
      <c r="B140" s="20">
        <f t="shared" si="4"/>
        <v>300000</v>
      </c>
      <c r="C140" s="17">
        <f t="shared" si="5"/>
        <v>401033.96710104682</v>
      </c>
      <c r="G140" s="11">
        <v>5857.7532273323768</v>
      </c>
      <c r="H140" s="20">
        <f t="shared" si="6"/>
        <v>292887.66136661882</v>
      </c>
      <c r="I140" s="17">
        <f t="shared" si="7"/>
        <v>-89957.27408673364</v>
      </c>
    </row>
    <row r="141" spans="1:9" x14ac:dyDescent="0.35">
      <c r="A141" s="11">
        <v>12918.301950132756</v>
      </c>
      <c r="B141" s="20">
        <f t="shared" si="4"/>
        <v>300000</v>
      </c>
      <c r="C141" s="17">
        <f t="shared" si="5"/>
        <v>404281.13650929299</v>
      </c>
      <c r="G141" s="11">
        <v>5448.6526078066345</v>
      </c>
      <c r="H141" s="20">
        <f t="shared" si="6"/>
        <v>272432.63039033173</v>
      </c>
      <c r="I141" s="17">
        <f t="shared" si="7"/>
        <v>-118594.31745353556</v>
      </c>
    </row>
    <row r="142" spans="1:9" x14ac:dyDescent="0.35">
      <c r="A142" s="11">
        <v>15226.111636707663</v>
      </c>
      <c r="B142" s="20">
        <f t="shared" si="4"/>
        <v>300000</v>
      </c>
      <c r="C142" s="17">
        <f t="shared" si="5"/>
        <v>550000</v>
      </c>
      <c r="G142" s="11">
        <v>7788.6593218787193</v>
      </c>
      <c r="H142" s="20">
        <f t="shared" si="6"/>
        <v>300000</v>
      </c>
      <c r="I142" s="17">
        <f t="shared" si="7"/>
        <v>45206.152531510335</v>
      </c>
    </row>
    <row r="143" spans="1:9" x14ac:dyDescent="0.35">
      <c r="A143" s="11">
        <v>13626.178777428511</v>
      </c>
      <c r="B143" s="20">
        <f t="shared" si="4"/>
        <v>300000</v>
      </c>
      <c r="C143" s="17">
        <f t="shared" si="5"/>
        <v>453832.51441999583</v>
      </c>
      <c r="G143" s="11">
        <v>3131.687368388928</v>
      </c>
      <c r="H143" s="20">
        <f t="shared" si="6"/>
        <v>156584.3684194464</v>
      </c>
      <c r="I143" s="17">
        <f t="shared" si="7"/>
        <v>-280781.88421277504</v>
      </c>
    </row>
    <row r="144" spans="1:9" x14ac:dyDescent="0.35">
      <c r="A144" s="11">
        <v>16965.666676839504</v>
      </c>
      <c r="B144" s="20">
        <f t="shared" si="4"/>
        <v>300000</v>
      </c>
      <c r="C144" s="17">
        <f t="shared" si="5"/>
        <v>550000</v>
      </c>
      <c r="G144" s="11">
        <v>5411.7252113406776</v>
      </c>
      <c r="H144" s="20">
        <f t="shared" si="6"/>
        <v>270586.2605670339</v>
      </c>
      <c r="I144" s="17">
        <f t="shared" si="7"/>
        <v>-121179.23520615255</v>
      </c>
    </row>
    <row r="145" spans="1:9" x14ac:dyDescent="0.35">
      <c r="A145" s="11">
        <v>15300.424207281716</v>
      </c>
      <c r="B145" s="20">
        <f t="shared" si="4"/>
        <v>300000</v>
      </c>
      <c r="C145" s="17">
        <f t="shared" si="5"/>
        <v>550000</v>
      </c>
      <c r="G145" s="11">
        <v>4949.369792779321</v>
      </c>
      <c r="H145" s="20">
        <f t="shared" si="6"/>
        <v>247468.48963896604</v>
      </c>
      <c r="I145" s="17">
        <f t="shared" si="7"/>
        <v>-153544.11450544751</v>
      </c>
    </row>
    <row r="146" spans="1:9" x14ac:dyDescent="0.35">
      <c r="A146" s="11">
        <v>15820.001831110569</v>
      </c>
      <c r="B146" s="20">
        <f t="shared" si="4"/>
        <v>300000</v>
      </c>
      <c r="C146" s="17">
        <f t="shared" si="5"/>
        <v>550000</v>
      </c>
      <c r="G146" s="11">
        <v>5785.5769524216439</v>
      </c>
      <c r="H146" s="20">
        <f t="shared" si="6"/>
        <v>289278.84762108221</v>
      </c>
      <c r="I146" s="17">
        <f t="shared" si="7"/>
        <v>-95009.61333048495</v>
      </c>
    </row>
    <row r="147" spans="1:9" x14ac:dyDescent="0.35">
      <c r="A147" s="11">
        <v>13438.489944151128</v>
      </c>
      <c r="B147" s="20">
        <f t="shared" si="4"/>
        <v>300000</v>
      </c>
      <c r="C147" s="17">
        <f t="shared" si="5"/>
        <v>440694.29609057901</v>
      </c>
      <c r="G147" s="11">
        <v>6684.4996490371414</v>
      </c>
      <c r="H147" s="20">
        <f t="shared" si="6"/>
        <v>300000</v>
      </c>
      <c r="I147" s="17">
        <f t="shared" si="7"/>
        <v>-32085.024567400105</v>
      </c>
    </row>
    <row r="148" spans="1:9" x14ac:dyDescent="0.35">
      <c r="A148" s="11">
        <v>13303.29294717246</v>
      </c>
      <c r="B148" s="20">
        <f t="shared" si="4"/>
        <v>300000</v>
      </c>
      <c r="C148" s="17">
        <f t="shared" si="5"/>
        <v>431230.5063020722</v>
      </c>
      <c r="G148" s="11">
        <v>5998.9013336588641</v>
      </c>
      <c r="H148" s="20">
        <f t="shared" si="6"/>
        <v>299945.0666829432</v>
      </c>
      <c r="I148" s="17">
        <f t="shared" si="7"/>
        <v>-80076.906643879483</v>
      </c>
    </row>
    <row r="149" spans="1:9" x14ac:dyDescent="0.35">
      <c r="A149" s="11">
        <v>12293.588061159093</v>
      </c>
      <c r="B149" s="20">
        <f t="shared" si="4"/>
        <v>300000</v>
      </c>
      <c r="C149" s="17">
        <f t="shared" si="5"/>
        <v>360551.16428113647</v>
      </c>
      <c r="G149" s="11">
        <v>7821.4667195654165</v>
      </c>
      <c r="H149" s="20">
        <f t="shared" si="6"/>
        <v>300000</v>
      </c>
      <c r="I149" s="17">
        <f t="shared" si="7"/>
        <v>47502.670369579108</v>
      </c>
    </row>
    <row r="150" spans="1:9" x14ac:dyDescent="0.35">
      <c r="A150" s="11">
        <v>16831.385235145113</v>
      </c>
      <c r="B150" s="20">
        <f t="shared" si="4"/>
        <v>300000</v>
      </c>
      <c r="C150" s="17">
        <f t="shared" si="5"/>
        <v>550000</v>
      </c>
      <c r="G150" s="11">
        <v>3161.2903225806454</v>
      </c>
      <c r="H150" s="20">
        <f t="shared" si="6"/>
        <v>158064.51612903227</v>
      </c>
      <c r="I150" s="17">
        <f t="shared" si="7"/>
        <v>-278709.67741935479</v>
      </c>
    </row>
    <row r="151" spans="1:9" x14ac:dyDescent="0.35">
      <c r="A151" s="11">
        <v>14402.56965849788</v>
      </c>
      <c r="B151" s="20">
        <f t="shared" si="4"/>
        <v>300000</v>
      </c>
      <c r="C151" s="17">
        <f t="shared" si="5"/>
        <v>508179.87609485153</v>
      </c>
      <c r="G151" s="11">
        <v>6903.4699545274216</v>
      </c>
      <c r="H151" s="20">
        <f t="shared" si="6"/>
        <v>300000</v>
      </c>
      <c r="I151" s="17">
        <f t="shared" si="7"/>
        <v>-16757.1031830805</v>
      </c>
    </row>
    <row r="152" spans="1:9" x14ac:dyDescent="0.35">
      <c r="A152" s="11">
        <v>13503.646961882381</v>
      </c>
      <c r="B152" s="20">
        <f t="shared" si="4"/>
        <v>300000</v>
      </c>
      <c r="C152" s="17">
        <f t="shared" si="5"/>
        <v>445255.28733176668</v>
      </c>
      <c r="G152" s="11">
        <v>7335.9172338023009</v>
      </c>
      <c r="H152" s="20">
        <f t="shared" si="6"/>
        <v>300000</v>
      </c>
      <c r="I152" s="17">
        <f t="shared" si="7"/>
        <v>13514.206366161059</v>
      </c>
    </row>
    <row r="153" spans="1:9" x14ac:dyDescent="0.35">
      <c r="A153" s="11">
        <v>12150.303659169285</v>
      </c>
      <c r="B153" s="20">
        <f t="shared" si="4"/>
        <v>300000</v>
      </c>
      <c r="C153" s="17">
        <f t="shared" si="5"/>
        <v>350521.25614185003</v>
      </c>
      <c r="G153" s="11">
        <v>5728.0495620593892</v>
      </c>
      <c r="H153" s="20">
        <f t="shared" si="6"/>
        <v>286402.47810296947</v>
      </c>
      <c r="I153" s="17">
        <f t="shared" si="7"/>
        <v>-99036.53065584274</v>
      </c>
    </row>
    <row r="154" spans="1:9" x14ac:dyDescent="0.35">
      <c r="A154" s="11">
        <v>16678.79268776513</v>
      </c>
      <c r="B154" s="20">
        <f t="shared" si="4"/>
        <v>300000</v>
      </c>
      <c r="C154" s="17">
        <f t="shared" si="5"/>
        <v>550000</v>
      </c>
      <c r="G154" s="11">
        <v>4987.5179296243168</v>
      </c>
      <c r="H154" s="20">
        <f t="shared" si="6"/>
        <v>249375.89648121584</v>
      </c>
      <c r="I154" s="17">
        <f t="shared" si="7"/>
        <v>-150873.7449262978</v>
      </c>
    </row>
    <row r="155" spans="1:9" x14ac:dyDescent="0.35">
      <c r="A155" s="11">
        <v>14234.260078737754</v>
      </c>
      <c r="B155" s="20">
        <f t="shared" si="4"/>
        <v>300000</v>
      </c>
      <c r="C155" s="17">
        <f t="shared" si="5"/>
        <v>496398.20551164274</v>
      </c>
      <c r="G155" s="11">
        <v>5890.4080324716942</v>
      </c>
      <c r="H155" s="20">
        <f t="shared" si="6"/>
        <v>294520.40162358474</v>
      </c>
      <c r="I155" s="17">
        <f t="shared" si="7"/>
        <v>-87671.437726981414</v>
      </c>
    </row>
    <row r="156" spans="1:9" x14ac:dyDescent="0.35">
      <c r="A156" s="11">
        <v>13006.347849971007</v>
      </c>
      <c r="B156" s="20">
        <f t="shared" si="4"/>
        <v>300000</v>
      </c>
      <c r="C156" s="17">
        <f t="shared" si="5"/>
        <v>410444.34949797054</v>
      </c>
      <c r="G156" s="11">
        <v>3667.4398022400587</v>
      </c>
      <c r="H156" s="20">
        <f t="shared" si="6"/>
        <v>183371.99011200294</v>
      </c>
      <c r="I156" s="17">
        <f t="shared" si="7"/>
        <v>-243279.2138431959</v>
      </c>
    </row>
    <row r="157" spans="1:9" x14ac:dyDescent="0.35">
      <c r="A157" s="11">
        <v>15292.184209723197</v>
      </c>
      <c r="B157" s="20">
        <f t="shared" si="4"/>
        <v>300000</v>
      </c>
      <c r="C157" s="17">
        <f t="shared" si="5"/>
        <v>550000</v>
      </c>
      <c r="G157" s="11">
        <v>6786.5840632343516</v>
      </c>
      <c r="H157" s="20">
        <f t="shared" si="6"/>
        <v>300000</v>
      </c>
      <c r="I157" s="17">
        <f t="shared" si="7"/>
        <v>-24939.115573595394</v>
      </c>
    </row>
    <row r="158" spans="1:9" x14ac:dyDescent="0.35">
      <c r="A158" s="11">
        <v>16375.591296121096</v>
      </c>
      <c r="B158" s="20">
        <f t="shared" si="4"/>
        <v>300000</v>
      </c>
      <c r="C158" s="17">
        <f t="shared" si="5"/>
        <v>550000</v>
      </c>
      <c r="G158" s="11">
        <v>6855.8610797448655</v>
      </c>
      <c r="H158" s="20">
        <f t="shared" si="6"/>
        <v>300000</v>
      </c>
      <c r="I158" s="17">
        <f t="shared" si="7"/>
        <v>-20089.724417859397</v>
      </c>
    </row>
    <row r="159" spans="1:9" x14ac:dyDescent="0.35">
      <c r="A159" s="11">
        <v>15559.831537827693</v>
      </c>
      <c r="B159" s="20">
        <f t="shared" si="4"/>
        <v>300000</v>
      </c>
      <c r="C159" s="17">
        <f t="shared" si="5"/>
        <v>550000</v>
      </c>
      <c r="G159" s="11">
        <v>4539.0484328745388</v>
      </c>
      <c r="H159" s="20">
        <f t="shared" si="6"/>
        <v>226952.42164372694</v>
      </c>
      <c r="I159" s="17">
        <f t="shared" si="7"/>
        <v>-182266.60969878227</v>
      </c>
    </row>
    <row r="160" spans="1:9" x14ac:dyDescent="0.35">
      <c r="A160" s="11">
        <v>14432.325205236975</v>
      </c>
      <c r="B160" s="20">
        <f t="shared" si="4"/>
        <v>300000</v>
      </c>
      <c r="C160" s="17">
        <f t="shared" si="5"/>
        <v>510262.76436658832</v>
      </c>
      <c r="G160" s="11">
        <v>6807.33664967803</v>
      </c>
      <c r="H160" s="20">
        <f t="shared" si="6"/>
        <v>300000</v>
      </c>
      <c r="I160" s="17">
        <f t="shared" si="7"/>
        <v>-23486.434522537922</v>
      </c>
    </row>
    <row r="161" spans="1:9" x14ac:dyDescent="0.35">
      <c r="A161" s="11">
        <v>14854.701376384777</v>
      </c>
      <c r="B161" s="20">
        <f t="shared" si="4"/>
        <v>300000</v>
      </c>
      <c r="C161" s="17">
        <f t="shared" si="5"/>
        <v>539829.09634693444</v>
      </c>
      <c r="G161" s="11">
        <v>4573.2291634876556</v>
      </c>
      <c r="H161" s="20">
        <f t="shared" si="6"/>
        <v>228661.45817438277</v>
      </c>
      <c r="I161" s="17">
        <f t="shared" si="7"/>
        <v>-179873.95855586411</v>
      </c>
    </row>
    <row r="162" spans="1:9" x14ac:dyDescent="0.35">
      <c r="A162" s="11">
        <v>16019.745475630971</v>
      </c>
      <c r="B162" s="20">
        <f t="shared" ref="B162:B225" si="8">50*MIN(6000,A162)</f>
        <v>300000</v>
      </c>
      <c r="C162" s="17">
        <f t="shared" ref="C162:C225" si="9">70*MIN(15000,A162)-500000</f>
        <v>550000</v>
      </c>
      <c r="G162" s="11">
        <v>3488.753929258095</v>
      </c>
      <c r="H162" s="20">
        <f t="shared" ref="H162:H225" si="10">50*MIN(6000,G162)</f>
        <v>174437.69646290474</v>
      </c>
      <c r="I162" s="17">
        <f t="shared" ref="I162:I225" si="11">70*MIN(15000,G162)-500000</f>
        <v>-255787.22495193334</v>
      </c>
    </row>
    <row r="163" spans="1:9" x14ac:dyDescent="0.35">
      <c r="A163" s="11">
        <v>12072.023682363353</v>
      </c>
      <c r="B163" s="20">
        <f t="shared" si="8"/>
        <v>300000</v>
      </c>
      <c r="C163" s="17">
        <f t="shared" si="9"/>
        <v>345041.65776543471</v>
      </c>
      <c r="G163" s="11">
        <v>4826.0750144962922</v>
      </c>
      <c r="H163" s="20">
        <f t="shared" si="10"/>
        <v>241303.7507248146</v>
      </c>
      <c r="I163" s="17">
        <f t="shared" si="11"/>
        <v>-162174.74898525956</v>
      </c>
    </row>
    <row r="164" spans="1:9" x14ac:dyDescent="0.35">
      <c r="A164" s="11">
        <v>12242.927335428938</v>
      </c>
      <c r="B164" s="20">
        <f t="shared" si="8"/>
        <v>300000</v>
      </c>
      <c r="C164" s="17">
        <f t="shared" si="9"/>
        <v>357004.91348002572</v>
      </c>
      <c r="G164" s="11">
        <v>4889.7061067537461</v>
      </c>
      <c r="H164" s="20">
        <f t="shared" si="10"/>
        <v>244485.30533768731</v>
      </c>
      <c r="I164" s="17">
        <f t="shared" si="11"/>
        <v>-157720.57252723776</v>
      </c>
    </row>
    <row r="165" spans="1:9" x14ac:dyDescent="0.35">
      <c r="A165" s="11">
        <v>13335.795159764397</v>
      </c>
      <c r="B165" s="20">
        <f t="shared" si="8"/>
        <v>300000</v>
      </c>
      <c r="C165" s="17">
        <f t="shared" si="9"/>
        <v>433505.66118350776</v>
      </c>
      <c r="G165" s="11">
        <v>4989.1964476454968</v>
      </c>
      <c r="H165" s="20">
        <f t="shared" si="10"/>
        <v>249459.82238227484</v>
      </c>
      <c r="I165" s="17">
        <f t="shared" si="11"/>
        <v>-150756.24866481521</v>
      </c>
    </row>
    <row r="166" spans="1:9" x14ac:dyDescent="0.35">
      <c r="A166" s="11">
        <v>12973.08267464217</v>
      </c>
      <c r="B166" s="20">
        <f t="shared" si="8"/>
        <v>300000</v>
      </c>
      <c r="C166" s="17">
        <f t="shared" si="9"/>
        <v>408115.7872249519</v>
      </c>
      <c r="G166" s="11">
        <v>3767.9982909634691</v>
      </c>
      <c r="H166" s="20">
        <f t="shared" si="10"/>
        <v>188399.91454817346</v>
      </c>
      <c r="I166" s="17">
        <f t="shared" si="11"/>
        <v>-236240.11963255715</v>
      </c>
    </row>
    <row r="167" spans="1:9" x14ac:dyDescent="0.35">
      <c r="A167" s="11">
        <v>14617.267372661519</v>
      </c>
      <c r="B167" s="20">
        <f t="shared" si="8"/>
        <v>300000</v>
      </c>
      <c r="C167" s="17">
        <f t="shared" si="9"/>
        <v>523208.71608630638</v>
      </c>
      <c r="G167" s="11">
        <v>7853.9689321573533</v>
      </c>
      <c r="H167" s="20">
        <f t="shared" si="10"/>
        <v>300000</v>
      </c>
      <c r="I167" s="17">
        <f t="shared" si="11"/>
        <v>49777.82525101467</v>
      </c>
    </row>
    <row r="168" spans="1:9" x14ac:dyDescent="0.35">
      <c r="A168" s="11">
        <v>12603.045747245704</v>
      </c>
      <c r="B168" s="20">
        <f t="shared" si="8"/>
        <v>300000</v>
      </c>
      <c r="C168" s="17">
        <f t="shared" si="9"/>
        <v>382213.20230719924</v>
      </c>
      <c r="G168" s="11">
        <v>3868.25159459212</v>
      </c>
      <c r="H168" s="20">
        <f t="shared" si="10"/>
        <v>193412.57972960599</v>
      </c>
      <c r="I168" s="17">
        <f t="shared" si="11"/>
        <v>-229222.38837855158</v>
      </c>
    </row>
    <row r="169" spans="1:9" x14ac:dyDescent="0.35">
      <c r="A169" s="11">
        <v>13629.23062837611</v>
      </c>
      <c r="B169" s="20">
        <f t="shared" si="8"/>
        <v>300000</v>
      </c>
      <c r="C169" s="17">
        <f t="shared" si="9"/>
        <v>454046.14398632769</v>
      </c>
      <c r="G169" s="11">
        <v>4893.6735129856261</v>
      </c>
      <c r="H169" s="20">
        <f t="shared" si="10"/>
        <v>244683.6756492813</v>
      </c>
      <c r="I169" s="17">
        <f t="shared" si="11"/>
        <v>-157442.85409100616</v>
      </c>
    </row>
    <row r="170" spans="1:9" x14ac:dyDescent="0.35">
      <c r="A170" s="11">
        <v>16887.081514938811</v>
      </c>
      <c r="B170" s="20">
        <f t="shared" si="8"/>
        <v>300000</v>
      </c>
      <c r="C170" s="17">
        <f t="shared" si="9"/>
        <v>550000</v>
      </c>
      <c r="G170" s="11">
        <v>5458.4185308389533</v>
      </c>
      <c r="H170" s="20">
        <f t="shared" si="10"/>
        <v>272920.92654194764</v>
      </c>
      <c r="I170" s="17">
        <f t="shared" si="11"/>
        <v>-117910.70284127328</v>
      </c>
    </row>
    <row r="171" spans="1:9" x14ac:dyDescent="0.35">
      <c r="A171" s="11">
        <v>16745.017853328041</v>
      </c>
      <c r="B171" s="20">
        <f t="shared" si="8"/>
        <v>300000</v>
      </c>
      <c r="C171" s="17">
        <f t="shared" si="9"/>
        <v>550000</v>
      </c>
      <c r="G171" s="11">
        <v>7801.0193182164985</v>
      </c>
      <c r="H171" s="20">
        <f t="shared" si="10"/>
        <v>300000</v>
      </c>
      <c r="I171" s="17">
        <f t="shared" si="11"/>
        <v>46071.352275154903</v>
      </c>
    </row>
    <row r="172" spans="1:9" x14ac:dyDescent="0.35">
      <c r="A172" s="11">
        <v>14857.142857142857</v>
      </c>
      <c r="B172" s="20">
        <f t="shared" si="8"/>
        <v>300000</v>
      </c>
      <c r="C172" s="17">
        <f t="shared" si="9"/>
        <v>540000</v>
      </c>
      <c r="G172" s="11">
        <v>6287.6064333017976</v>
      </c>
      <c r="H172" s="20">
        <f t="shared" si="10"/>
        <v>300000</v>
      </c>
      <c r="I172" s="17">
        <f t="shared" si="11"/>
        <v>-59867.549668874184</v>
      </c>
    </row>
    <row r="173" spans="1:9" x14ac:dyDescent="0.35">
      <c r="A173" s="11">
        <v>15224.280526139104</v>
      </c>
      <c r="B173" s="20">
        <f t="shared" si="8"/>
        <v>300000</v>
      </c>
      <c r="C173" s="17">
        <f t="shared" si="9"/>
        <v>550000</v>
      </c>
      <c r="G173" s="11">
        <v>3910.9775078585162</v>
      </c>
      <c r="H173" s="20">
        <f t="shared" si="10"/>
        <v>195548.87539292581</v>
      </c>
      <c r="I173" s="17">
        <f t="shared" si="11"/>
        <v>-226231.57444990386</v>
      </c>
    </row>
    <row r="174" spans="1:9" x14ac:dyDescent="0.35">
      <c r="A174" s="11">
        <v>14228.156376842555</v>
      </c>
      <c r="B174" s="20">
        <f t="shared" si="8"/>
        <v>300000</v>
      </c>
      <c r="C174" s="17">
        <f t="shared" si="9"/>
        <v>495970.9463789789</v>
      </c>
      <c r="G174" s="11">
        <v>5411.1148411511585</v>
      </c>
      <c r="H174" s="20">
        <f t="shared" si="10"/>
        <v>270555.74205755792</v>
      </c>
      <c r="I174" s="17">
        <f t="shared" si="11"/>
        <v>-121221.96111941891</v>
      </c>
    </row>
    <row r="175" spans="1:9" x14ac:dyDescent="0.35">
      <c r="A175" s="11">
        <v>16751.731925412761</v>
      </c>
      <c r="B175" s="20">
        <f t="shared" si="8"/>
        <v>300000</v>
      </c>
      <c r="C175" s="17">
        <f t="shared" si="9"/>
        <v>550000</v>
      </c>
      <c r="G175" s="11">
        <v>4437.5743888668476</v>
      </c>
      <c r="H175" s="20">
        <f t="shared" si="10"/>
        <v>221878.71944334239</v>
      </c>
      <c r="I175" s="17">
        <f t="shared" si="11"/>
        <v>-189369.79277932068</v>
      </c>
    </row>
    <row r="176" spans="1:9" x14ac:dyDescent="0.35">
      <c r="A176" s="11">
        <v>13521.34769737846</v>
      </c>
      <c r="B176" s="20">
        <f t="shared" si="8"/>
        <v>300000</v>
      </c>
      <c r="C176" s="17">
        <f t="shared" si="9"/>
        <v>446494.33881649224</v>
      </c>
      <c r="G176" s="11">
        <v>4362.4988555558948</v>
      </c>
      <c r="H176" s="20">
        <f t="shared" si="10"/>
        <v>218124.94277779473</v>
      </c>
      <c r="I176" s="17">
        <f t="shared" si="11"/>
        <v>-194625.08011108736</v>
      </c>
    </row>
    <row r="177" spans="1:9" x14ac:dyDescent="0.35">
      <c r="A177" s="11">
        <v>13851.40537736137</v>
      </c>
      <c r="B177" s="20">
        <f t="shared" si="8"/>
        <v>300000</v>
      </c>
      <c r="C177" s="17">
        <f t="shared" si="9"/>
        <v>469598.37641529599</v>
      </c>
      <c r="G177" s="11">
        <v>3318.4606463820305</v>
      </c>
      <c r="H177" s="20">
        <f t="shared" si="10"/>
        <v>165923.03231910153</v>
      </c>
      <c r="I177" s="17">
        <f t="shared" si="11"/>
        <v>-267707.75475325785</v>
      </c>
    </row>
    <row r="178" spans="1:9" x14ac:dyDescent="0.35">
      <c r="A178" s="11">
        <v>12464.796899319437</v>
      </c>
      <c r="B178" s="20">
        <f t="shared" si="8"/>
        <v>300000</v>
      </c>
      <c r="C178" s="17">
        <f t="shared" si="9"/>
        <v>372535.78295236058</v>
      </c>
      <c r="G178" s="11">
        <v>3527.6650288399915</v>
      </c>
      <c r="H178" s="20">
        <f t="shared" si="10"/>
        <v>176383.25144199957</v>
      </c>
      <c r="I178" s="17">
        <f t="shared" si="11"/>
        <v>-253063.44798120059</v>
      </c>
    </row>
    <row r="179" spans="1:9" x14ac:dyDescent="0.35">
      <c r="A179" s="11">
        <v>15751.335184789576</v>
      </c>
      <c r="B179" s="20">
        <f t="shared" si="8"/>
        <v>300000</v>
      </c>
      <c r="C179" s="17">
        <f t="shared" si="9"/>
        <v>550000</v>
      </c>
      <c r="G179" s="11">
        <v>4361.8884853663749</v>
      </c>
      <c r="H179" s="20">
        <f t="shared" si="10"/>
        <v>218094.42426831875</v>
      </c>
      <c r="I179" s="17">
        <f t="shared" si="11"/>
        <v>-194667.80602435378</v>
      </c>
    </row>
    <row r="180" spans="1:9" x14ac:dyDescent="0.35">
      <c r="A180" s="11">
        <v>12200.811792352062</v>
      </c>
      <c r="B180" s="20">
        <f t="shared" si="8"/>
        <v>300000</v>
      </c>
      <c r="C180" s="17">
        <f t="shared" si="9"/>
        <v>354056.82546464435</v>
      </c>
      <c r="G180" s="11">
        <v>6895.8403271584211</v>
      </c>
      <c r="H180" s="20">
        <f t="shared" si="10"/>
        <v>300000</v>
      </c>
      <c r="I180" s="17">
        <f t="shared" si="11"/>
        <v>-17291.177098910499</v>
      </c>
    </row>
    <row r="181" spans="1:9" x14ac:dyDescent="0.35">
      <c r="A181" s="11">
        <v>15358.714560380871</v>
      </c>
      <c r="B181" s="20">
        <f t="shared" si="8"/>
        <v>300000</v>
      </c>
      <c r="C181" s="17">
        <f t="shared" si="9"/>
        <v>550000</v>
      </c>
      <c r="G181" s="11">
        <v>3419.9346903897213</v>
      </c>
      <c r="H181" s="20">
        <f t="shared" si="10"/>
        <v>170996.73451948605</v>
      </c>
      <c r="I181" s="17">
        <f t="shared" si="11"/>
        <v>-260604.57167271952</v>
      </c>
    </row>
    <row r="182" spans="1:9" x14ac:dyDescent="0.35">
      <c r="A182" s="11">
        <v>16566.02679525132</v>
      </c>
      <c r="B182" s="20">
        <f t="shared" si="8"/>
        <v>300000</v>
      </c>
      <c r="C182" s="17">
        <f t="shared" si="9"/>
        <v>550000</v>
      </c>
      <c r="G182" s="11">
        <v>6262.5812555314797</v>
      </c>
      <c r="H182" s="20">
        <f t="shared" si="10"/>
        <v>300000</v>
      </c>
      <c r="I182" s="17">
        <f t="shared" si="11"/>
        <v>-61619.312112796411</v>
      </c>
    </row>
    <row r="183" spans="1:9" x14ac:dyDescent="0.35">
      <c r="A183" s="11">
        <v>13800.134281441695</v>
      </c>
      <c r="B183" s="20">
        <f t="shared" si="8"/>
        <v>300000</v>
      </c>
      <c r="C183" s="17">
        <f t="shared" si="9"/>
        <v>466009.39970091858</v>
      </c>
      <c r="G183" s="11">
        <v>3612.0487075411238</v>
      </c>
      <c r="H183" s="20">
        <f t="shared" si="10"/>
        <v>180602.43537705619</v>
      </c>
      <c r="I183" s="17">
        <f t="shared" si="11"/>
        <v>-247156.59047212134</v>
      </c>
    </row>
    <row r="184" spans="1:9" x14ac:dyDescent="0.35">
      <c r="A184" s="11">
        <v>13335.795159764397</v>
      </c>
      <c r="B184" s="20">
        <f t="shared" si="8"/>
        <v>300000</v>
      </c>
      <c r="C184" s="17">
        <f t="shared" si="9"/>
        <v>433505.66118350776</v>
      </c>
      <c r="G184" s="11">
        <v>7063.8447218237861</v>
      </c>
      <c r="H184" s="20">
        <f t="shared" si="10"/>
        <v>300000</v>
      </c>
      <c r="I184" s="17">
        <f t="shared" si="11"/>
        <v>-5530.8694723349763</v>
      </c>
    </row>
    <row r="185" spans="1:9" x14ac:dyDescent="0.35">
      <c r="A185" s="11">
        <v>12095.522934659872</v>
      </c>
      <c r="B185" s="20">
        <f t="shared" si="8"/>
        <v>300000</v>
      </c>
      <c r="C185" s="17">
        <f t="shared" si="9"/>
        <v>346686.605426191</v>
      </c>
      <c r="G185" s="11">
        <v>3311.2887966551716</v>
      </c>
      <c r="H185" s="20">
        <f t="shared" si="10"/>
        <v>165564.43983275857</v>
      </c>
      <c r="I185" s="17">
        <f t="shared" si="11"/>
        <v>-268209.78423413797</v>
      </c>
    </row>
    <row r="186" spans="1:9" x14ac:dyDescent="0.35">
      <c r="A186" s="11">
        <v>12971.404156620991</v>
      </c>
      <c r="B186" s="20">
        <f t="shared" si="8"/>
        <v>300000</v>
      </c>
      <c r="C186" s="17">
        <f t="shared" si="9"/>
        <v>407998.29096346931</v>
      </c>
      <c r="G186" s="11">
        <v>7950.8651997436446</v>
      </c>
      <c r="H186" s="20">
        <f t="shared" si="10"/>
        <v>300000</v>
      </c>
      <c r="I186" s="17">
        <f t="shared" si="11"/>
        <v>56560.563982055173</v>
      </c>
    </row>
    <row r="187" spans="1:9" x14ac:dyDescent="0.35">
      <c r="A187" s="11">
        <v>13611.682485427411</v>
      </c>
      <c r="B187" s="20">
        <f t="shared" si="8"/>
        <v>300000</v>
      </c>
      <c r="C187" s="17">
        <f t="shared" si="9"/>
        <v>452817.7739799188</v>
      </c>
      <c r="G187" s="11">
        <v>6812.9825739310891</v>
      </c>
      <c r="H187" s="20">
        <f t="shared" si="10"/>
        <v>300000</v>
      </c>
      <c r="I187" s="17">
        <f t="shared" si="11"/>
        <v>-23091.219824823784</v>
      </c>
    </row>
    <row r="188" spans="1:9" x14ac:dyDescent="0.35">
      <c r="A188" s="11">
        <v>15184.759056367686</v>
      </c>
      <c r="B188" s="20">
        <f t="shared" si="8"/>
        <v>300000</v>
      </c>
      <c r="C188" s="17">
        <f t="shared" si="9"/>
        <v>550000</v>
      </c>
      <c r="G188" s="11">
        <v>5603.3814508499399</v>
      </c>
      <c r="H188" s="20">
        <f t="shared" si="10"/>
        <v>280169.07254249702</v>
      </c>
      <c r="I188" s="17">
        <f t="shared" si="11"/>
        <v>-107763.29844050418</v>
      </c>
    </row>
    <row r="189" spans="1:9" x14ac:dyDescent="0.35">
      <c r="A189" s="11">
        <v>12589.159825434126</v>
      </c>
      <c r="B189" s="20">
        <f t="shared" si="8"/>
        <v>300000</v>
      </c>
      <c r="C189" s="17">
        <f t="shared" si="9"/>
        <v>381241.18778038886</v>
      </c>
      <c r="G189" s="11">
        <v>4446.8825342570271</v>
      </c>
      <c r="H189" s="20">
        <f t="shared" si="10"/>
        <v>222344.12671285134</v>
      </c>
      <c r="I189" s="17">
        <f t="shared" si="11"/>
        <v>-188718.22260200809</v>
      </c>
    </row>
    <row r="190" spans="1:9" x14ac:dyDescent="0.35">
      <c r="A190" s="11">
        <v>13690.115054780725</v>
      </c>
      <c r="B190" s="20">
        <f t="shared" si="8"/>
        <v>300000</v>
      </c>
      <c r="C190" s="17">
        <f t="shared" si="9"/>
        <v>458308.05383465078</v>
      </c>
      <c r="G190" s="11">
        <v>5736.8999298074286</v>
      </c>
      <c r="H190" s="20">
        <f t="shared" si="10"/>
        <v>286844.99649037141</v>
      </c>
      <c r="I190" s="17">
        <f t="shared" si="11"/>
        <v>-98417.004913480021</v>
      </c>
    </row>
    <row r="191" spans="1:9" x14ac:dyDescent="0.35">
      <c r="A191" s="11">
        <v>13889.553514206365</v>
      </c>
      <c r="B191" s="20">
        <f t="shared" si="8"/>
        <v>300000</v>
      </c>
      <c r="C191" s="17">
        <f t="shared" si="9"/>
        <v>472268.74599444564</v>
      </c>
      <c r="G191" s="11">
        <v>5511.9785149693289</v>
      </c>
      <c r="H191" s="20">
        <f t="shared" si="10"/>
        <v>275598.92574846646</v>
      </c>
      <c r="I191" s="17">
        <f t="shared" si="11"/>
        <v>-114161.50395214697</v>
      </c>
    </row>
    <row r="192" spans="1:9" x14ac:dyDescent="0.35">
      <c r="A192" s="11">
        <v>14950.529496139408</v>
      </c>
      <c r="B192" s="20">
        <f t="shared" si="8"/>
        <v>300000</v>
      </c>
      <c r="C192" s="17">
        <f t="shared" si="9"/>
        <v>546537.06472975854</v>
      </c>
      <c r="G192" s="11">
        <v>6430.2804651020851</v>
      </c>
      <c r="H192" s="20">
        <f t="shared" si="10"/>
        <v>300000</v>
      </c>
      <c r="I192" s="17">
        <f t="shared" si="11"/>
        <v>-49880.36744285404</v>
      </c>
    </row>
    <row r="193" spans="1:9" x14ac:dyDescent="0.35">
      <c r="A193" s="11">
        <v>12793.023468733787</v>
      </c>
      <c r="B193" s="20">
        <f t="shared" si="8"/>
        <v>300000</v>
      </c>
      <c r="C193" s="17">
        <f t="shared" si="9"/>
        <v>395511.64281136508</v>
      </c>
      <c r="G193" s="11">
        <v>6908.0477309488206</v>
      </c>
      <c r="H193" s="20">
        <f t="shared" si="10"/>
        <v>300000</v>
      </c>
      <c r="I193" s="17">
        <f t="shared" si="11"/>
        <v>-16436.658833582536</v>
      </c>
    </row>
    <row r="194" spans="1:9" x14ac:dyDescent="0.35">
      <c r="A194" s="11">
        <v>15679.311502426221</v>
      </c>
      <c r="B194" s="20">
        <f t="shared" si="8"/>
        <v>300000</v>
      </c>
      <c r="C194" s="17">
        <f t="shared" si="9"/>
        <v>550000</v>
      </c>
      <c r="G194" s="11">
        <v>6389.9960325937682</v>
      </c>
      <c r="H194" s="20">
        <f t="shared" si="10"/>
        <v>300000</v>
      </c>
      <c r="I194" s="17">
        <f t="shared" si="11"/>
        <v>-52700.277718436206</v>
      </c>
    </row>
    <row r="195" spans="1:9" x14ac:dyDescent="0.35">
      <c r="A195" s="11">
        <v>16810.632648701438</v>
      </c>
      <c r="B195" s="20">
        <f t="shared" si="8"/>
        <v>300000</v>
      </c>
      <c r="C195" s="17">
        <f t="shared" si="9"/>
        <v>550000</v>
      </c>
      <c r="G195" s="11">
        <v>5859.5843379009366</v>
      </c>
      <c r="H195" s="20">
        <f t="shared" si="10"/>
        <v>292979.21689504682</v>
      </c>
      <c r="I195" s="17">
        <f t="shared" si="11"/>
        <v>-89829.096346934442</v>
      </c>
    </row>
    <row r="196" spans="1:9" x14ac:dyDescent="0.35">
      <c r="A196" s="11">
        <v>14454.145939512315</v>
      </c>
      <c r="B196" s="20">
        <f t="shared" si="8"/>
        <v>300000</v>
      </c>
      <c r="C196" s="17">
        <f t="shared" si="9"/>
        <v>511790.21576586203</v>
      </c>
      <c r="G196" s="11">
        <v>4219.6722312082275</v>
      </c>
      <c r="H196" s="20">
        <f t="shared" si="10"/>
        <v>210983.61156041137</v>
      </c>
      <c r="I196" s="17">
        <f t="shared" si="11"/>
        <v>-204622.94381542411</v>
      </c>
    </row>
    <row r="197" spans="1:9" x14ac:dyDescent="0.35">
      <c r="A197" s="11">
        <v>14687.459944456314</v>
      </c>
      <c r="B197" s="20">
        <f t="shared" si="8"/>
        <v>300000</v>
      </c>
      <c r="C197" s="17">
        <f t="shared" si="9"/>
        <v>528122.19611194194</v>
      </c>
      <c r="G197" s="11">
        <v>4785.9431745353559</v>
      </c>
      <c r="H197" s="20">
        <f t="shared" si="10"/>
        <v>239297.15872676778</v>
      </c>
      <c r="I197" s="17">
        <f t="shared" si="11"/>
        <v>-164983.97778252506</v>
      </c>
    </row>
    <row r="198" spans="1:9" x14ac:dyDescent="0.35">
      <c r="A198" s="11">
        <v>13165.044099246194</v>
      </c>
      <c r="B198" s="20">
        <f t="shared" si="8"/>
        <v>300000</v>
      </c>
      <c r="C198" s="17">
        <f t="shared" si="9"/>
        <v>421553.08694723353</v>
      </c>
      <c r="G198" s="11">
        <v>5783.5932493057044</v>
      </c>
      <c r="H198" s="20">
        <f t="shared" si="10"/>
        <v>289179.66246528522</v>
      </c>
      <c r="I198" s="17">
        <f t="shared" si="11"/>
        <v>-95148.472548600694</v>
      </c>
    </row>
    <row r="199" spans="1:9" x14ac:dyDescent="0.35">
      <c r="A199" s="11">
        <v>16690.694906460769</v>
      </c>
      <c r="B199" s="20">
        <f t="shared" si="8"/>
        <v>300000</v>
      </c>
      <c r="C199" s="17">
        <f t="shared" si="9"/>
        <v>550000</v>
      </c>
      <c r="G199" s="11">
        <v>3293.1302835169531</v>
      </c>
      <c r="H199" s="20">
        <f t="shared" si="10"/>
        <v>164656.51417584767</v>
      </c>
      <c r="I199" s="17">
        <f t="shared" si="11"/>
        <v>-269480.88015381328</v>
      </c>
    </row>
    <row r="200" spans="1:9" x14ac:dyDescent="0.35">
      <c r="A200" s="11">
        <v>12264.290292062136</v>
      </c>
      <c r="B200" s="20">
        <f t="shared" si="8"/>
        <v>300000</v>
      </c>
      <c r="C200" s="17">
        <f t="shared" si="9"/>
        <v>358500.32044434955</v>
      </c>
      <c r="G200" s="11">
        <v>5982.8791161839654</v>
      </c>
      <c r="H200" s="20">
        <f t="shared" si="10"/>
        <v>299143.95580919826</v>
      </c>
      <c r="I200" s="17">
        <f t="shared" si="11"/>
        <v>-81198.461867122445</v>
      </c>
    </row>
    <row r="201" spans="1:9" x14ac:dyDescent="0.35">
      <c r="A201" s="11">
        <v>15517.563402203436</v>
      </c>
      <c r="B201" s="20">
        <f t="shared" si="8"/>
        <v>300000</v>
      </c>
      <c r="C201" s="17">
        <f t="shared" si="9"/>
        <v>550000</v>
      </c>
      <c r="G201" s="11">
        <v>4579.9432355723748</v>
      </c>
      <c r="H201" s="20">
        <f t="shared" si="10"/>
        <v>228997.16177861873</v>
      </c>
      <c r="I201" s="17">
        <f t="shared" si="11"/>
        <v>-179403.97350993374</v>
      </c>
    </row>
    <row r="202" spans="1:9" x14ac:dyDescent="0.35">
      <c r="A202" s="11">
        <v>13058.534501174963</v>
      </c>
      <c r="B202" s="20">
        <f t="shared" si="8"/>
        <v>300000</v>
      </c>
      <c r="C202" s="17">
        <f t="shared" si="9"/>
        <v>414097.41508224746</v>
      </c>
      <c r="G202" s="11">
        <v>4324.8084963530382</v>
      </c>
      <c r="H202" s="20">
        <f t="shared" si="10"/>
        <v>216240.42481765192</v>
      </c>
      <c r="I202" s="17">
        <f t="shared" si="11"/>
        <v>-197263.4052552873</v>
      </c>
    </row>
    <row r="203" spans="1:9" x14ac:dyDescent="0.35">
      <c r="A203" s="11">
        <v>14361.980040894803</v>
      </c>
      <c r="B203" s="20">
        <f t="shared" si="8"/>
        <v>300000</v>
      </c>
      <c r="C203" s="17">
        <f t="shared" si="9"/>
        <v>505338.60286263621</v>
      </c>
      <c r="G203" s="11">
        <v>4378.2158879360331</v>
      </c>
      <c r="H203" s="20">
        <f t="shared" si="10"/>
        <v>218910.79439680165</v>
      </c>
      <c r="I203" s="17">
        <f t="shared" si="11"/>
        <v>-193524.88784447766</v>
      </c>
    </row>
    <row r="204" spans="1:9" x14ac:dyDescent="0.35">
      <c r="A204" s="11">
        <v>13689.199499496444</v>
      </c>
      <c r="B204" s="20">
        <f t="shared" si="8"/>
        <v>300000</v>
      </c>
      <c r="C204" s="17">
        <f t="shared" si="9"/>
        <v>458243.96496475115</v>
      </c>
      <c r="G204" s="11">
        <v>6166.447950682088</v>
      </c>
      <c r="H204" s="20">
        <f t="shared" si="10"/>
        <v>300000</v>
      </c>
      <c r="I204" s="17">
        <f t="shared" si="11"/>
        <v>-68348.643452253833</v>
      </c>
    </row>
    <row r="205" spans="1:9" x14ac:dyDescent="0.35">
      <c r="A205" s="11">
        <v>13444.135868404188</v>
      </c>
      <c r="B205" s="20">
        <f t="shared" si="8"/>
        <v>300000</v>
      </c>
      <c r="C205" s="17">
        <f t="shared" si="9"/>
        <v>441089.51078829321</v>
      </c>
      <c r="G205" s="11">
        <v>3020.5999938962982</v>
      </c>
      <c r="H205" s="20">
        <f t="shared" si="10"/>
        <v>151029.99969481491</v>
      </c>
      <c r="I205" s="17">
        <f t="shared" si="11"/>
        <v>-288558.00042725913</v>
      </c>
    </row>
    <row r="206" spans="1:9" x14ac:dyDescent="0.35">
      <c r="A206" s="11">
        <v>16122.592852565082</v>
      </c>
      <c r="B206" s="20">
        <f t="shared" si="8"/>
        <v>300000</v>
      </c>
      <c r="C206" s="17">
        <f t="shared" si="9"/>
        <v>550000</v>
      </c>
      <c r="G206" s="11">
        <v>4109.5004119998775</v>
      </c>
      <c r="H206" s="20">
        <f t="shared" si="10"/>
        <v>205475.02059999388</v>
      </c>
      <c r="I206" s="17">
        <f t="shared" si="11"/>
        <v>-212334.97116000857</v>
      </c>
    </row>
    <row r="207" spans="1:9" x14ac:dyDescent="0.35">
      <c r="A207" s="11">
        <v>14296.060060426649</v>
      </c>
      <c r="B207" s="20">
        <f t="shared" si="8"/>
        <v>300000</v>
      </c>
      <c r="C207" s="17">
        <f t="shared" si="9"/>
        <v>500724.20422986546</v>
      </c>
      <c r="G207" s="11">
        <v>3464.0339365825375</v>
      </c>
      <c r="H207" s="20">
        <f t="shared" si="10"/>
        <v>173201.69682912689</v>
      </c>
      <c r="I207" s="17">
        <f t="shared" si="11"/>
        <v>-257517.62443922236</v>
      </c>
    </row>
    <row r="208" spans="1:9" x14ac:dyDescent="0.35">
      <c r="A208" s="11">
        <v>12533.46354564043</v>
      </c>
      <c r="B208" s="20">
        <f t="shared" si="8"/>
        <v>300000</v>
      </c>
      <c r="C208" s="17">
        <f t="shared" si="9"/>
        <v>377342.4481948301</v>
      </c>
      <c r="G208" s="11">
        <v>7310.281685842464</v>
      </c>
      <c r="H208" s="20">
        <f t="shared" si="10"/>
        <v>300000</v>
      </c>
      <c r="I208" s="17">
        <f t="shared" si="11"/>
        <v>11719.718008972472</v>
      </c>
    </row>
    <row r="209" spans="1:9" x14ac:dyDescent="0.35">
      <c r="A209" s="11">
        <v>12894.955290383617</v>
      </c>
      <c r="B209" s="20">
        <f t="shared" si="8"/>
        <v>300000</v>
      </c>
      <c r="C209" s="17">
        <f t="shared" si="9"/>
        <v>402646.87032685324</v>
      </c>
      <c r="G209" s="11">
        <v>3222.6325266273993</v>
      </c>
      <c r="H209" s="20">
        <f t="shared" si="10"/>
        <v>161131.62633136997</v>
      </c>
      <c r="I209" s="17">
        <f t="shared" si="11"/>
        <v>-274415.72313608206</v>
      </c>
    </row>
    <row r="210" spans="1:9" x14ac:dyDescent="0.35">
      <c r="A210" s="11">
        <v>14048.097170934172</v>
      </c>
      <c r="B210" s="20">
        <f t="shared" si="8"/>
        <v>300000</v>
      </c>
      <c r="C210" s="17">
        <f t="shared" si="9"/>
        <v>483366.80196539208</v>
      </c>
      <c r="G210" s="11">
        <v>6088.7783440656758</v>
      </c>
      <c r="H210" s="20">
        <f t="shared" si="10"/>
        <v>300000</v>
      </c>
      <c r="I210" s="17">
        <f t="shared" si="11"/>
        <v>-73785.515915402677</v>
      </c>
    </row>
    <row r="211" spans="1:9" x14ac:dyDescent="0.35">
      <c r="A211" s="11">
        <v>14000.946073793755</v>
      </c>
      <c r="B211" s="20">
        <f t="shared" si="8"/>
        <v>300000</v>
      </c>
      <c r="C211" s="17">
        <f t="shared" si="9"/>
        <v>480066.22516556282</v>
      </c>
      <c r="G211" s="11">
        <v>4310.769981994079</v>
      </c>
      <c r="H211" s="20">
        <f t="shared" si="10"/>
        <v>215538.49909970394</v>
      </c>
      <c r="I211" s="17">
        <f t="shared" si="11"/>
        <v>-198246.10126041446</v>
      </c>
    </row>
    <row r="212" spans="1:9" x14ac:dyDescent="0.35">
      <c r="A212" s="11">
        <v>16031.64769432661</v>
      </c>
      <c r="B212" s="20">
        <f t="shared" si="8"/>
        <v>300000</v>
      </c>
      <c r="C212" s="17">
        <f t="shared" si="9"/>
        <v>550000</v>
      </c>
      <c r="G212" s="11">
        <v>5793.0539872432637</v>
      </c>
      <c r="H212" s="20">
        <f t="shared" si="10"/>
        <v>289652.6993621632</v>
      </c>
      <c r="I212" s="17">
        <f t="shared" si="11"/>
        <v>-94486.220892971556</v>
      </c>
    </row>
    <row r="213" spans="1:9" x14ac:dyDescent="0.35">
      <c r="A213" s="11">
        <v>15391.674550614949</v>
      </c>
      <c r="B213" s="20">
        <f t="shared" si="8"/>
        <v>300000</v>
      </c>
      <c r="C213" s="17">
        <f t="shared" si="9"/>
        <v>550000</v>
      </c>
      <c r="G213" s="11">
        <v>5574.388866847743</v>
      </c>
      <c r="H213" s="20">
        <f t="shared" si="10"/>
        <v>278719.44334238715</v>
      </c>
      <c r="I213" s="17">
        <f t="shared" si="11"/>
        <v>-109792.77932065801</v>
      </c>
    </row>
    <row r="214" spans="1:9" x14ac:dyDescent="0.35">
      <c r="A214" s="11">
        <v>15093.966490676596</v>
      </c>
      <c r="B214" s="20">
        <f t="shared" si="8"/>
        <v>300000</v>
      </c>
      <c r="C214" s="17">
        <f t="shared" si="9"/>
        <v>550000</v>
      </c>
      <c r="G214" s="11">
        <v>3026.3985106967375</v>
      </c>
      <c r="H214" s="20">
        <f t="shared" si="10"/>
        <v>151319.92553483689</v>
      </c>
      <c r="I214" s="17">
        <f t="shared" si="11"/>
        <v>-288152.10425122839</v>
      </c>
    </row>
    <row r="215" spans="1:9" x14ac:dyDescent="0.35">
      <c r="A215" s="11">
        <v>12725.424970244454</v>
      </c>
      <c r="B215" s="20">
        <f t="shared" si="8"/>
        <v>300000</v>
      </c>
      <c r="C215" s="17">
        <f t="shared" si="9"/>
        <v>390779.74791711173</v>
      </c>
      <c r="G215" s="11">
        <v>4342.5092318491161</v>
      </c>
      <c r="H215" s="20">
        <f t="shared" si="10"/>
        <v>217125.4615924558</v>
      </c>
      <c r="I215" s="17">
        <f t="shared" si="11"/>
        <v>-196024.35377056187</v>
      </c>
    </row>
    <row r="216" spans="1:9" x14ac:dyDescent="0.35">
      <c r="A216" s="11">
        <v>16859.920041505175</v>
      </c>
      <c r="B216" s="20">
        <f t="shared" si="8"/>
        <v>300000</v>
      </c>
      <c r="C216" s="17">
        <f t="shared" si="9"/>
        <v>550000</v>
      </c>
      <c r="G216" s="11">
        <v>4696.3713492233037</v>
      </c>
      <c r="H216" s="20">
        <f t="shared" si="10"/>
        <v>234818.56746116519</v>
      </c>
      <c r="I216" s="17">
        <f t="shared" si="11"/>
        <v>-171254.00555436872</v>
      </c>
    </row>
    <row r="217" spans="1:9" x14ac:dyDescent="0.35">
      <c r="A217" s="11">
        <v>14138.889736625264</v>
      </c>
      <c r="B217" s="20">
        <f t="shared" si="8"/>
        <v>300000</v>
      </c>
      <c r="C217" s="17">
        <f t="shared" si="9"/>
        <v>489722.28156376851</v>
      </c>
      <c r="G217" s="11">
        <v>7268.9291055024878</v>
      </c>
      <c r="H217" s="20">
        <f t="shared" si="10"/>
        <v>300000</v>
      </c>
      <c r="I217" s="17">
        <f t="shared" si="11"/>
        <v>8825.0373851741315</v>
      </c>
    </row>
    <row r="218" spans="1:9" x14ac:dyDescent="0.35">
      <c r="A218" s="11">
        <v>13448.408459730827</v>
      </c>
      <c r="B218" s="20">
        <f t="shared" si="8"/>
        <v>300000</v>
      </c>
      <c r="C218" s="17">
        <f t="shared" si="9"/>
        <v>441388.5921811579</v>
      </c>
      <c r="G218" s="11">
        <v>6528.2448805200356</v>
      </c>
      <c r="H218" s="20">
        <f t="shared" si="10"/>
        <v>300000</v>
      </c>
      <c r="I218" s="17">
        <f t="shared" si="11"/>
        <v>-43022.858363597479</v>
      </c>
    </row>
    <row r="219" spans="1:9" x14ac:dyDescent="0.35">
      <c r="A219" s="11">
        <v>14000.946073793755</v>
      </c>
      <c r="B219" s="20">
        <f t="shared" si="8"/>
        <v>300000</v>
      </c>
      <c r="C219" s="17">
        <f t="shared" si="9"/>
        <v>480066.22516556282</v>
      </c>
      <c r="G219" s="11">
        <v>6684.4996490371414</v>
      </c>
      <c r="H219" s="20">
        <f t="shared" si="10"/>
        <v>300000</v>
      </c>
      <c r="I219" s="17">
        <f t="shared" si="11"/>
        <v>-32085.024567400105</v>
      </c>
    </row>
    <row r="220" spans="1:9" x14ac:dyDescent="0.35">
      <c r="A220" s="11">
        <v>13634.72396008179</v>
      </c>
      <c r="B220" s="20">
        <f t="shared" si="8"/>
        <v>300000</v>
      </c>
      <c r="C220" s="17">
        <f t="shared" si="9"/>
        <v>454430.67720572534</v>
      </c>
      <c r="G220" s="11">
        <v>3319.2236091189307</v>
      </c>
      <c r="H220" s="20">
        <f t="shared" si="10"/>
        <v>165961.18045594654</v>
      </c>
      <c r="I220" s="17">
        <f t="shared" si="11"/>
        <v>-267654.34736167488</v>
      </c>
    </row>
    <row r="221" spans="1:9" x14ac:dyDescent="0.35">
      <c r="A221" s="11">
        <v>13152.073732718894</v>
      </c>
      <c r="B221" s="20">
        <f t="shared" si="8"/>
        <v>300000</v>
      </c>
      <c r="C221" s="17">
        <f t="shared" si="9"/>
        <v>420645.16129032266</v>
      </c>
      <c r="G221" s="11">
        <v>6886.0744041261023</v>
      </c>
      <c r="H221" s="20">
        <f t="shared" si="10"/>
        <v>300000</v>
      </c>
      <c r="I221" s="17">
        <f t="shared" si="11"/>
        <v>-17974.791711172846</v>
      </c>
    </row>
    <row r="222" spans="1:9" x14ac:dyDescent="0.35">
      <c r="A222" s="11">
        <v>14967.009491256447</v>
      </c>
      <c r="B222" s="20">
        <f t="shared" si="8"/>
        <v>300000</v>
      </c>
      <c r="C222" s="17">
        <f t="shared" si="9"/>
        <v>547690.66438795126</v>
      </c>
      <c r="G222" s="11">
        <v>3924.2530594805748</v>
      </c>
      <c r="H222" s="20">
        <f t="shared" si="10"/>
        <v>196212.65297402875</v>
      </c>
      <c r="I222" s="17">
        <f t="shared" si="11"/>
        <v>-225302.28583635978</v>
      </c>
    </row>
    <row r="223" spans="1:9" x14ac:dyDescent="0.35">
      <c r="A223" s="11">
        <v>14053.437910092471</v>
      </c>
      <c r="B223" s="20">
        <f t="shared" si="8"/>
        <v>300000</v>
      </c>
      <c r="C223" s="17">
        <f t="shared" si="9"/>
        <v>483740.65370647295</v>
      </c>
      <c r="G223" s="11">
        <v>7638.6608478041926</v>
      </c>
      <c r="H223" s="20">
        <f t="shared" si="10"/>
        <v>300000</v>
      </c>
      <c r="I223" s="17">
        <f t="shared" si="11"/>
        <v>34706.259346293518</v>
      </c>
    </row>
    <row r="224" spans="1:9" x14ac:dyDescent="0.35">
      <c r="A224" s="11">
        <v>13804.559465315713</v>
      </c>
      <c r="B224" s="20">
        <f t="shared" si="8"/>
        <v>300000</v>
      </c>
      <c r="C224" s="17">
        <f t="shared" si="9"/>
        <v>466319.16257209994</v>
      </c>
      <c r="G224" s="11">
        <v>5375.102999969482</v>
      </c>
      <c r="H224" s="20">
        <f t="shared" si="10"/>
        <v>268755.14999847411</v>
      </c>
      <c r="I224" s="17">
        <f t="shared" si="11"/>
        <v>-123742.79000213626</v>
      </c>
    </row>
    <row r="225" spans="1:9" x14ac:dyDescent="0.35">
      <c r="A225" s="11">
        <v>14210.303048799096</v>
      </c>
      <c r="B225" s="20">
        <f t="shared" si="8"/>
        <v>300000</v>
      </c>
      <c r="C225" s="17">
        <f t="shared" si="9"/>
        <v>494721.2134159368</v>
      </c>
      <c r="G225" s="11">
        <v>7926.9081698049868</v>
      </c>
      <c r="H225" s="20">
        <f t="shared" si="10"/>
        <v>300000</v>
      </c>
      <c r="I225" s="17">
        <f t="shared" si="11"/>
        <v>54883.57188634912</v>
      </c>
    </row>
    <row r="226" spans="1:9" x14ac:dyDescent="0.35">
      <c r="A226" s="11">
        <v>14442.701498458815</v>
      </c>
      <c r="B226" s="20">
        <f t="shared" ref="B226:B289" si="12">50*MIN(6000,A226)</f>
        <v>300000</v>
      </c>
      <c r="C226" s="17">
        <f t="shared" ref="C226:C289" si="13">70*MIN(15000,A226)-500000</f>
        <v>510989.10489211709</v>
      </c>
      <c r="G226" s="11">
        <v>3287.7895443586535</v>
      </c>
      <c r="H226" s="20">
        <f t="shared" ref="H226:H289" si="14">50*MIN(6000,G226)</f>
        <v>164389.47721793267</v>
      </c>
      <c r="I226" s="17">
        <f t="shared" ref="I226:I289" si="15">70*MIN(15000,G226)-500000</f>
        <v>-269854.73189489427</v>
      </c>
    </row>
    <row r="227" spans="1:9" x14ac:dyDescent="0.35">
      <c r="A227" s="11">
        <v>15614.154484694967</v>
      </c>
      <c r="B227" s="20">
        <f t="shared" si="12"/>
        <v>300000</v>
      </c>
      <c r="C227" s="17">
        <f t="shared" si="13"/>
        <v>550000</v>
      </c>
      <c r="G227" s="11">
        <v>4755.8824427014988</v>
      </c>
      <c r="H227" s="20">
        <f t="shared" si="14"/>
        <v>237794.12213507493</v>
      </c>
      <c r="I227" s="17">
        <f t="shared" si="15"/>
        <v>-167088.22901089507</v>
      </c>
    </row>
    <row r="228" spans="1:9" x14ac:dyDescent="0.35">
      <c r="A228" s="11">
        <v>15339.335306863613</v>
      </c>
      <c r="B228" s="20">
        <f t="shared" si="12"/>
        <v>300000</v>
      </c>
      <c r="C228" s="17">
        <f t="shared" si="13"/>
        <v>550000</v>
      </c>
      <c r="G228" s="11">
        <v>5400.7385479293189</v>
      </c>
      <c r="H228" s="20">
        <f t="shared" si="14"/>
        <v>270036.92739646597</v>
      </c>
      <c r="I228" s="17">
        <f t="shared" si="15"/>
        <v>-121948.30164494767</v>
      </c>
    </row>
    <row r="229" spans="1:9" x14ac:dyDescent="0.35">
      <c r="A229" s="11">
        <v>12409.558397167883</v>
      </c>
      <c r="B229" s="20">
        <f t="shared" si="12"/>
        <v>300000</v>
      </c>
      <c r="C229" s="17">
        <f t="shared" si="13"/>
        <v>368669.0878017518</v>
      </c>
      <c r="G229" s="11">
        <v>7711.4474929044463</v>
      </c>
      <c r="H229" s="20">
        <f t="shared" si="14"/>
        <v>300000</v>
      </c>
      <c r="I229" s="17">
        <f t="shared" si="15"/>
        <v>39801.324503311189</v>
      </c>
    </row>
    <row r="230" spans="1:9" x14ac:dyDescent="0.35">
      <c r="A230" s="11">
        <v>12068.056276131474</v>
      </c>
      <c r="B230" s="20">
        <f t="shared" si="12"/>
        <v>300000</v>
      </c>
      <c r="C230" s="17">
        <f t="shared" si="13"/>
        <v>344763.93932920322</v>
      </c>
      <c r="G230" s="11">
        <v>7368.1142612994781</v>
      </c>
      <c r="H230" s="20">
        <f t="shared" si="14"/>
        <v>300000</v>
      </c>
      <c r="I230" s="17">
        <f t="shared" si="15"/>
        <v>15767.998290963471</v>
      </c>
    </row>
    <row r="231" spans="1:9" x14ac:dyDescent="0.35">
      <c r="A231" s="11">
        <v>14163.91491439558</v>
      </c>
      <c r="B231" s="20">
        <f t="shared" si="12"/>
        <v>300000</v>
      </c>
      <c r="C231" s="17">
        <f t="shared" si="13"/>
        <v>491474.04400769062</v>
      </c>
      <c r="G231" s="11">
        <v>3160.3747672963655</v>
      </c>
      <c r="H231" s="20">
        <f t="shared" si="14"/>
        <v>158018.73836481827</v>
      </c>
      <c r="I231" s="17">
        <f t="shared" si="15"/>
        <v>-278773.76628925442</v>
      </c>
    </row>
    <row r="232" spans="1:9" x14ac:dyDescent="0.35">
      <c r="A232" s="11">
        <v>16126.10248115482</v>
      </c>
      <c r="B232" s="20">
        <f t="shared" si="12"/>
        <v>300000</v>
      </c>
      <c r="C232" s="17">
        <f t="shared" si="13"/>
        <v>550000</v>
      </c>
      <c r="G232" s="11">
        <v>5409.4363231299785</v>
      </c>
      <c r="H232" s="20">
        <f t="shared" si="14"/>
        <v>270471.81615649891</v>
      </c>
      <c r="I232" s="17">
        <f t="shared" si="15"/>
        <v>-121339.4573809015</v>
      </c>
    </row>
    <row r="233" spans="1:9" x14ac:dyDescent="0.35">
      <c r="A233" s="11">
        <v>13603.595080416273</v>
      </c>
      <c r="B233" s="20">
        <f t="shared" si="12"/>
        <v>300000</v>
      </c>
      <c r="C233" s="17">
        <f t="shared" si="13"/>
        <v>452251.65562913916</v>
      </c>
      <c r="G233" s="11">
        <v>5543.4125797296056</v>
      </c>
      <c r="H233" s="20">
        <f t="shared" si="14"/>
        <v>277170.6289864803</v>
      </c>
      <c r="I233" s="17">
        <f t="shared" si="15"/>
        <v>-111961.11941892758</v>
      </c>
    </row>
    <row r="234" spans="1:9" x14ac:dyDescent="0.35">
      <c r="A234" s="11">
        <v>14240.211188085574</v>
      </c>
      <c r="B234" s="20">
        <f t="shared" si="12"/>
        <v>300000</v>
      </c>
      <c r="C234" s="17">
        <f t="shared" si="13"/>
        <v>496814.78316599014</v>
      </c>
      <c r="G234" s="11">
        <v>4721.3965269936216</v>
      </c>
      <c r="H234" s="20">
        <f t="shared" si="14"/>
        <v>236069.82634968107</v>
      </c>
      <c r="I234" s="17">
        <f t="shared" si="15"/>
        <v>-169502.24311044649</v>
      </c>
    </row>
    <row r="235" spans="1:9" x14ac:dyDescent="0.35">
      <c r="A235" s="11">
        <v>16138.309884945218</v>
      </c>
      <c r="B235" s="20">
        <f t="shared" si="12"/>
        <v>300000</v>
      </c>
      <c r="C235" s="17">
        <f t="shared" si="13"/>
        <v>550000</v>
      </c>
      <c r="G235" s="11">
        <v>5281.1059907834097</v>
      </c>
      <c r="H235" s="20">
        <f t="shared" si="14"/>
        <v>264055.29953917046</v>
      </c>
      <c r="I235" s="17">
        <f t="shared" si="15"/>
        <v>-130322.58064516133</v>
      </c>
    </row>
    <row r="236" spans="1:9" x14ac:dyDescent="0.35">
      <c r="A236" s="11">
        <v>12474.868007446516</v>
      </c>
      <c r="B236" s="20">
        <f t="shared" si="12"/>
        <v>300000</v>
      </c>
      <c r="C236" s="17">
        <f t="shared" si="13"/>
        <v>373240.76052125613</v>
      </c>
      <c r="G236" s="11">
        <v>6320.5664235358745</v>
      </c>
      <c r="H236" s="20">
        <f t="shared" si="14"/>
        <v>300000</v>
      </c>
      <c r="I236" s="17">
        <f t="shared" si="15"/>
        <v>-57560.350352488807</v>
      </c>
    </row>
    <row r="237" spans="1:9" x14ac:dyDescent="0.35">
      <c r="A237" s="11">
        <v>14508.16370128483</v>
      </c>
      <c r="B237" s="20">
        <f t="shared" si="12"/>
        <v>300000</v>
      </c>
      <c r="C237" s="17">
        <f t="shared" si="13"/>
        <v>515571.45908993809</v>
      </c>
      <c r="G237" s="11">
        <v>6548.5396893215739</v>
      </c>
      <c r="H237" s="20">
        <f t="shared" si="14"/>
        <v>300000</v>
      </c>
      <c r="I237" s="17">
        <f t="shared" si="15"/>
        <v>-41602.221747489821</v>
      </c>
    </row>
    <row r="238" spans="1:9" x14ac:dyDescent="0.35">
      <c r="A238" s="11">
        <v>16369.487594225899</v>
      </c>
      <c r="B238" s="20">
        <f t="shared" si="12"/>
        <v>300000</v>
      </c>
      <c r="C238" s="17">
        <f t="shared" si="13"/>
        <v>550000</v>
      </c>
      <c r="G238" s="11">
        <v>3821.1004974517045</v>
      </c>
      <c r="H238" s="20">
        <f t="shared" si="14"/>
        <v>191055.02487258523</v>
      </c>
      <c r="I238" s="17">
        <f t="shared" si="15"/>
        <v>-232522.96517838066</v>
      </c>
    </row>
    <row r="239" spans="1:9" x14ac:dyDescent="0.35">
      <c r="A239" s="11">
        <v>16128.849147007659</v>
      </c>
      <c r="B239" s="20">
        <f t="shared" si="12"/>
        <v>300000</v>
      </c>
      <c r="C239" s="17">
        <f t="shared" si="13"/>
        <v>550000</v>
      </c>
      <c r="G239" s="11">
        <v>6647.7248451185642</v>
      </c>
      <c r="H239" s="20">
        <f t="shared" si="14"/>
        <v>300000</v>
      </c>
      <c r="I239" s="17">
        <f t="shared" si="15"/>
        <v>-34659.260841700481</v>
      </c>
    </row>
    <row r="240" spans="1:9" x14ac:dyDescent="0.35">
      <c r="A240" s="11">
        <v>15643.757438886685</v>
      </c>
      <c r="B240" s="20">
        <f t="shared" si="12"/>
        <v>300000</v>
      </c>
      <c r="C240" s="17">
        <f t="shared" si="13"/>
        <v>550000</v>
      </c>
      <c r="G240" s="11">
        <v>6194.5249794000065</v>
      </c>
      <c r="H240" s="20">
        <f t="shared" si="14"/>
        <v>300000</v>
      </c>
      <c r="I240" s="17">
        <f t="shared" si="15"/>
        <v>-66383.251441999571</v>
      </c>
    </row>
    <row r="241" spans="1:9" x14ac:dyDescent="0.35">
      <c r="A241" s="11">
        <v>13755.42466505936</v>
      </c>
      <c r="B241" s="20">
        <f t="shared" si="12"/>
        <v>300000</v>
      </c>
      <c r="C241" s="17">
        <f t="shared" si="13"/>
        <v>462879.72655415512</v>
      </c>
      <c r="G241" s="11">
        <v>5092.8067873165073</v>
      </c>
      <c r="H241" s="20">
        <f t="shared" si="14"/>
        <v>254640.33936582538</v>
      </c>
      <c r="I241" s="17">
        <f t="shared" si="15"/>
        <v>-143503.52488784451</v>
      </c>
    </row>
    <row r="242" spans="1:9" x14ac:dyDescent="0.35">
      <c r="A242" s="11">
        <v>12846.125675222022</v>
      </c>
      <c r="B242" s="20">
        <f t="shared" si="12"/>
        <v>300000</v>
      </c>
      <c r="C242" s="17">
        <f t="shared" si="13"/>
        <v>399228.79726554151</v>
      </c>
      <c r="G242" s="11">
        <v>3426.1909848323007</v>
      </c>
      <c r="H242" s="20">
        <f t="shared" si="14"/>
        <v>171309.54924161502</v>
      </c>
      <c r="I242" s="17">
        <f t="shared" si="15"/>
        <v>-260166.63106173894</v>
      </c>
    </row>
    <row r="243" spans="1:9" x14ac:dyDescent="0.35">
      <c r="A243" s="11">
        <v>12607.928708761865</v>
      </c>
      <c r="B243" s="20">
        <f t="shared" si="12"/>
        <v>300000</v>
      </c>
      <c r="C243" s="17">
        <f t="shared" si="13"/>
        <v>382555.00961333059</v>
      </c>
      <c r="G243" s="11">
        <v>7909.3600268562877</v>
      </c>
      <c r="H243" s="20">
        <f t="shared" si="14"/>
        <v>300000</v>
      </c>
      <c r="I243" s="17">
        <f t="shared" si="15"/>
        <v>53655.201879940112</v>
      </c>
    </row>
    <row r="244" spans="1:9" x14ac:dyDescent="0.35">
      <c r="A244" s="11">
        <v>12785.088656270027</v>
      </c>
      <c r="B244" s="20">
        <f t="shared" si="12"/>
        <v>300000</v>
      </c>
      <c r="C244" s="17">
        <f t="shared" si="13"/>
        <v>394956.20593890187</v>
      </c>
      <c r="G244" s="11">
        <v>4806.0853907895143</v>
      </c>
      <c r="H244" s="20">
        <f t="shared" si="14"/>
        <v>240304.26953947573</v>
      </c>
      <c r="I244" s="17">
        <f t="shared" si="15"/>
        <v>-163574.02264473401</v>
      </c>
    </row>
    <row r="245" spans="1:9" x14ac:dyDescent="0.35">
      <c r="A245" s="11">
        <v>14674.184392834253</v>
      </c>
      <c r="B245" s="20">
        <f t="shared" si="12"/>
        <v>300000</v>
      </c>
      <c r="C245" s="17">
        <f t="shared" si="13"/>
        <v>527192.90749839775</v>
      </c>
      <c r="G245" s="11">
        <v>4188.085573900571</v>
      </c>
      <c r="H245" s="20">
        <f t="shared" si="14"/>
        <v>209404.27869502857</v>
      </c>
      <c r="I245" s="17">
        <f t="shared" si="15"/>
        <v>-206834.00982696004</v>
      </c>
    </row>
    <row r="246" spans="1:9" x14ac:dyDescent="0.35">
      <c r="A246" s="11">
        <v>16821.008941923275</v>
      </c>
      <c r="B246" s="20">
        <f t="shared" si="12"/>
        <v>300000</v>
      </c>
      <c r="C246" s="17">
        <f t="shared" si="13"/>
        <v>550000</v>
      </c>
      <c r="G246" s="11">
        <v>4992.0957060457167</v>
      </c>
      <c r="H246" s="20">
        <f t="shared" si="14"/>
        <v>249604.78530228583</v>
      </c>
      <c r="I246" s="17">
        <f t="shared" si="15"/>
        <v>-150553.30057679984</v>
      </c>
    </row>
    <row r="247" spans="1:9" x14ac:dyDescent="0.35">
      <c r="A247" s="11">
        <v>14212.134159367657</v>
      </c>
      <c r="B247" s="20">
        <f t="shared" si="12"/>
        <v>300000</v>
      </c>
      <c r="C247" s="17">
        <f t="shared" si="13"/>
        <v>494849.39115573594</v>
      </c>
      <c r="G247" s="11">
        <v>5727.2865993224896</v>
      </c>
      <c r="H247" s="20">
        <f t="shared" si="14"/>
        <v>286364.3299661245</v>
      </c>
      <c r="I247" s="17">
        <f t="shared" si="15"/>
        <v>-99089.938047425705</v>
      </c>
    </row>
    <row r="248" spans="1:9" x14ac:dyDescent="0.35">
      <c r="A248" s="11">
        <v>16225.440229499192</v>
      </c>
      <c r="B248" s="20">
        <f t="shared" si="12"/>
        <v>300000</v>
      </c>
      <c r="C248" s="17">
        <f t="shared" si="13"/>
        <v>550000</v>
      </c>
      <c r="G248" s="11">
        <v>6587.2981963560906</v>
      </c>
      <c r="H248" s="20">
        <f t="shared" si="14"/>
        <v>300000</v>
      </c>
      <c r="I248" s="17">
        <f t="shared" si="15"/>
        <v>-38889.126255073643</v>
      </c>
    </row>
    <row r="249" spans="1:9" x14ac:dyDescent="0.35">
      <c r="A249" s="11">
        <v>13081.1181981872</v>
      </c>
      <c r="B249" s="20">
        <f t="shared" si="12"/>
        <v>300000</v>
      </c>
      <c r="C249" s="17">
        <f t="shared" si="13"/>
        <v>415678.27387310402</v>
      </c>
      <c r="G249" s="11">
        <v>4789.300210577715</v>
      </c>
      <c r="H249" s="20">
        <f t="shared" si="14"/>
        <v>239465.01052888576</v>
      </c>
      <c r="I249" s="17">
        <f t="shared" si="15"/>
        <v>-164748.98525955994</v>
      </c>
    </row>
    <row r="250" spans="1:9" x14ac:dyDescent="0.35">
      <c r="A250" s="11">
        <v>14956.633198034608</v>
      </c>
      <c r="B250" s="20">
        <f t="shared" si="12"/>
        <v>300000</v>
      </c>
      <c r="C250" s="17">
        <f t="shared" si="13"/>
        <v>546964.32386242249</v>
      </c>
      <c r="G250" s="11">
        <v>5403.3326212347783</v>
      </c>
      <c r="H250" s="20">
        <f t="shared" si="14"/>
        <v>270166.63106173894</v>
      </c>
      <c r="I250" s="17">
        <f t="shared" si="15"/>
        <v>-121766.71651356551</v>
      </c>
    </row>
    <row r="251" spans="1:9" x14ac:dyDescent="0.35">
      <c r="A251" s="11">
        <v>16111.301004058962</v>
      </c>
      <c r="B251" s="20">
        <f t="shared" si="12"/>
        <v>300000</v>
      </c>
      <c r="C251" s="17">
        <f t="shared" si="13"/>
        <v>550000</v>
      </c>
      <c r="G251" s="11">
        <v>7703.5126804406873</v>
      </c>
      <c r="H251" s="20">
        <f t="shared" si="14"/>
        <v>300000</v>
      </c>
      <c r="I251" s="17">
        <f t="shared" si="15"/>
        <v>39245.887630848098</v>
      </c>
    </row>
    <row r="252" spans="1:9" x14ac:dyDescent="0.35">
      <c r="A252" s="11">
        <v>12478.225043488876</v>
      </c>
      <c r="B252" s="20">
        <f t="shared" si="12"/>
        <v>300000</v>
      </c>
      <c r="C252" s="17">
        <f t="shared" si="13"/>
        <v>373475.75304422132</v>
      </c>
      <c r="G252" s="11">
        <v>6469.9545274208813</v>
      </c>
      <c r="H252" s="20">
        <f t="shared" si="14"/>
        <v>300000</v>
      </c>
      <c r="I252" s="17">
        <f t="shared" si="15"/>
        <v>-47103.183080538292</v>
      </c>
    </row>
    <row r="253" spans="1:9" x14ac:dyDescent="0.35">
      <c r="A253" s="11">
        <v>15863.948484756005</v>
      </c>
      <c r="B253" s="20">
        <f t="shared" si="12"/>
        <v>300000</v>
      </c>
      <c r="C253" s="17">
        <f t="shared" si="13"/>
        <v>550000</v>
      </c>
      <c r="G253" s="11">
        <v>6390.4538102359083</v>
      </c>
      <c r="H253" s="20">
        <f t="shared" si="14"/>
        <v>300000</v>
      </c>
      <c r="I253" s="17">
        <f t="shared" si="15"/>
        <v>-52668.233283486392</v>
      </c>
    </row>
    <row r="254" spans="1:9" x14ac:dyDescent="0.35">
      <c r="A254" s="11">
        <v>14806.787316507462</v>
      </c>
      <c r="B254" s="20">
        <f t="shared" si="12"/>
        <v>300000</v>
      </c>
      <c r="C254" s="17">
        <f t="shared" si="13"/>
        <v>536475.11215552234</v>
      </c>
      <c r="G254" s="11">
        <v>5808.771019623402</v>
      </c>
      <c r="H254" s="20">
        <f t="shared" si="14"/>
        <v>290438.55098117009</v>
      </c>
      <c r="I254" s="17">
        <f t="shared" si="15"/>
        <v>-93386.028626361862</v>
      </c>
    </row>
    <row r="255" spans="1:9" x14ac:dyDescent="0.35">
      <c r="A255" s="11">
        <v>13498.764000366222</v>
      </c>
      <c r="B255" s="20">
        <f t="shared" si="12"/>
        <v>300000</v>
      </c>
      <c r="C255" s="17">
        <f t="shared" si="13"/>
        <v>444913.48002563557</v>
      </c>
      <c r="G255" s="11">
        <v>3996.2767418439284</v>
      </c>
      <c r="H255" s="20">
        <f t="shared" si="14"/>
        <v>199813.83709219642</v>
      </c>
      <c r="I255" s="17">
        <f t="shared" si="15"/>
        <v>-220260.62807092501</v>
      </c>
    </row>
    <row r="256" spans="1:9" x14ac:dyDescent="0.35">
      <c r="A256" s="11">
        <v>14901.699880977812</v>
      </c>
      <c r="B256" s="20">
        <f t="shared" si="12"/>
        <v>300000</v>
      </c>
      <c r="C256" s="17">
        <f t="shared" si="13"/>
        <v>543118.99166844692</v>
      </c>
      <c r="G256" s="11">
        <v>5660.1458784752958</v>
      </c>
      <c r="H256" s="20">
        <f t="shared" si="14"/>
        <v>283007.29392376478</v>
      </c>
      <c r="I256" s="17">
        <f t="shared" si="15"/>
        <v>-103789.7885067293</v>
      </c>
    </row>
    <row r="257" spans="1:9" x14ac:dyDescent="0.35">
      <c r="A257" s="11">
        <v>13634.266182439649</v>
      </c>
      <c r="B257" s="20">
        <f t="shared" si="12"/>
        <v>300000</v>
      </c>
      <c r="C257" s="17">
        <f t="shared" si="13"/>
        <v>454398.63277077547</v>
      </c>
      <c r="G257" s="11">
        <v>7826.1970885341962</v>
      </c>
      <c r="H257" s="20">
        <f t="shared" si="14"/>
        <v>300000</v>
      </c>
      <c r="I257" s="17">
        <f t="shared" si="15"/>
        <v>47833.796197393676</v>
      </c>
    </row>
    <row r="258" spans="1:9" x14ac:dyDescent="0.35">
      <c r="A258" s="11">
        <v>14977.538377025667</v>
      </c>
      <c r="B258" s="20">
        <f t="shared" si="12"/>
        <v>300000</v>
      </c>
      <c r="C258" s="17">
        <f t="shared" si="13"/>
        <v>548427.68639179668</v>
      </c>
      <c r="G258" s="11">
        <v>4843.165379802851</v>
      </c>
      <c r="H258" s="20">
        <f t="shared" si="14"/>
        <v>242158.26899014256</v>
      </c>
      <c r="I258" s="17">
        <f t="shared" si="15"/>
        <v>-160978.42341380042</v>
      </c>
    </row>
    <row r="259" spans="1:9" x14ac:dyDescent="0.35">
      <c r="A259" s="11">
        <v>16731.131931516466</v>
      </c>
      <c r="B259" s="20">
        <f t="shared" si="12"/>
        <v>300000</v>
      </c>
      <c r="C259" s="17">
        <f t="shared" si="13"/>
        <v>550000</v>
      </c>
      <c r="G259" s="11">
        <v>5783.8984344004639</v>
      </c>
      <c r="H259" s="20">
        <f t="shared" si="14"/>
        <v>289194.92172002321</v>
      </c>
      <c r="I259" s="17">
        <f t="shared" si="15"/>
        <v>-95127.109591967543</v>
      </c>
    </row>
    <row r="260" spans="1:9" x14ac:dyDescent="0.35">
      <c r="A260" s="11">
        <v>16403.820917386394</v>
      </c>
      <c r="B260" s="20">
        <f t="shared" si="12"/>
        <v>300000</v>
      </c>
      <c r="C260" s="17">
        <f t="shared" si="13"/>
        <v>550000</v>
      </c>
      <c r="G260" s="11">
        <v>6876.3084810937835</v>
      </c>
      <c r="H260" s="20">
        <f t="shared" si="14"/>
        <v>300000</v>
      </c>
      <c r="I260" s="17">
        <f t="shared" si="15"/>
        <v>-18658.406323435134</v>
      </c>
    </row>
    <row r="261" spans="1:9" x14ac:dyDescent="0.35">
      <c r="A261" s="11">
        <v>13236.915189062165</v>
      </c>
      <c r="B261" s="20">
        <f t="shared" si="12"/>
        <v>300000</v>
      </c>
      <c r="C261" s="17">
        <f t="shared" si="13"/>
        <v>426584.06323435158</v>
      </c>
      <c r="G261" s="11">
        <v>4684.7743156224251</v>
      </c>
      <c r="H261" s="20">
        <f t="shared" si="14"/>
        <v>234238.71578112125</v>
      </c>
      <c r="I261" s="17">
        <f t="shared" si="15"/>
        <v>-172065.79790643026</v>
      </c>
    </row>
    <row r="262" spans="1:9" x14ac:dyDescent="0.35">
      <c r="A262" s="11">
        <v>15728.293710135196</v>
      </c>
      <c r="B262" s="20">
        <f t="shared" si="12"/>
        <v>300000</v>
      </c>
      <c r="C262" s="17">
        <f t="shared" si="13"/>
        <v>550000</v>
      </c>
      <c r="G262" s="11">
        <v>7013.946958830531</v>
      </c>
      <c r="H262" s="20">
        <f t="shared" si="14"/>
        <v>300000</v>
      </c>
      <c r="I262" s="17">
        <f t="shared" si="15"/>
        <v>-9023.7128818628262</v>
      </c>
    </row>
    <row r="263" spans="1:9" x14ac:dyDescent="0.35">
      <c r="A263" s="11">
        <v>15148.747215186009</v>
      </c>
      <c r="B263" s="20">
        <f t="shared" si="12"/>
        <v>300000</v>
      </c>
      <c r="C263" s="17">
        <f t="shared" si="13"/>
        <v>550000</v>
      </c>
      <c r="G263" s="11">
        <v>3228.4310434278391</v>
      </c>
      <c r="H263" s="20">
        <f t="shared" si="14"/>
        <v>161421.55217139196</v>
      </c>
      <c r="I263" s="17">
        <f t="shared" si="15"/>
        <v>-274009.82696005126</v>
      </c>
    </row>
    <row r="264" spans="1:9" x14ac:dyDescent="0.35">
      <c r="A264" s="11">
        <v>16103.366191595203</v>
      </c>
      <c r="B264" s="20">
        <f t="shared" si="12"/>
        <v>300000</v>
      </c>
      <c r="C264" s="17">
        <f t="shared" si="13"/>
        <v>550000</v>
      </c>
      <c r="G264" s="11">
        <v>6079.7753837702567</v>
      </c>
      <c r="H264" s="20">
        <f t="shared" si="14"/>
        <v>300000</v>
      </c>
      <c r="I264" s="17">
        <f t="shared" si="15"/>
        <v>-74415.723136082059</v>
      </c>
    </row>
    <row r="265" spans="1:9" x14ac:dyDescent="0.35">
      <c r="A265" s="11">
        <v>13391.644032105472</v>
      </c>
      <c r="B265" s="20">
        <f t="shared" si="12"/>
        <v>300000</v>
      </c>
      <c r="C265" s="17">
        <f t="shared" si="13"/>
        <v>437415.08224738308</v>
      </c>
      <c r="G265" s="11">
        <v>7238.2580034791099</v>
      </c>
      <c r="H265" s="20">
        <f t="shared" si="14"/>
        <v>300000</v>
      </c>
      <c r="I265" s="17">
        <f t="shared" si="15"/>
        <v>6678.0602435377077</v>
      </c>
    </row>
    <row r="266" spans="1:9" x14ac:dyDescent="0.35">
      <c r="A266" s="11">
        <v>15169.347209082309</v>
      </c>
      <c r="B266" s="20">
        <f t="shared" si="12"/>
        <v>300000</v>
      </c>
      <c r="C266" s="17">
        <f t="shared" si="13"/>
        <v>550000</v>
      </c>
      <c r="G266" s="11">
        <v>4535.2336191900386</v>
      </c>
      <c r="H266" s="20">
        <f t="shared" si="14"/>
        <v>226761.68095950191</v>
      </c>
      <c r="I266" s="17">
        <f t="shared" si="15"/>
        <v>-182533.64665669732</v>
      </c>
    </row>
    <row r="267" spans="1:9" x14ac:dyDescent="0.35">
      <c r="A267" s="11">
        <v>14111.270485549485</v>
      </c>
      <c r="B267" s="20">
        <f t="shared" si="12"/>
        <v>300000</v>
      </c>
      <c r="C267" s="17">
        <f t="shared" si="13"/>
        <v>487788.93398846395</v>
      </c>
      <c r="G267" s="11">
        <v>3098.4221930600911</v>
      </c>
      <c r="H267" s="20">
        <f t="shared" si="14"/>
        <v>154921.10965300456</v>
      </c>
      <c r="I267" s="17">
        <f t="shared" si="15"/>
        <v>-283110.44648579363</v>
      </c>
    </row>
    <row r="268" spans="1:9" x14ac:dyDescent="0.35">
      <c r="A268" s="11">
        <v>16352.397228919341</v>
      </c>
      <c r="B268" s="20">
        <f t="shared" si="12"/>
        <v>300000</v>
      </c>
      <c r="C268" s="17">
        <f t="shared" si="13"/>
        <v>550000</v>
      </c>
      <c r="G268" s="11">
        <v>5232.7341532639548</v>
      </c>
      <c r="H268" s="20">
        <f t="shared" si="14"/>
        <v>261636.70766319774</v>
      </c>
      <c r="I268" s="17">
        <f t="shared" si="15"/>
        <v>-133708.60927152319</v>
      </c>
    </row>
    <row r="269" spans="1:9" x14ac:dyDescent="0.35">
      <c r="A269" s="11">
        <v>14252.571184423352</v>
      </c>
      <c r="B269" s="20">
        <f t="shared" si="12"/>
        <v>300000</v>
      </c>
      <c r="C269" s="17">
        <f t="shared" si="13"/>
        <v>497679.98290963459</v>
      </c>
      <c r="G269" s="11">
        <v>5296.212652974029</v>
      </c>
      <c r="H269" s="20">
        <f t="shared" si="14"/>
        <v>264810.63264870143</v>
      </c>
      <c r="I269" s="17">
        <f t="shared" si="15"/>
        <v>-129265.114291818</v>
      </c>
    </row>
    <row r="270" spans="1:9" x14ac:dyDescent="0.35">
      <c r="A270" s="11">
        <v>13710.257271034883</v>
      </c>
      <c r="B270" s="20">
        <f t="shared" si="12"/>
        <v>300000</v>
      </c>
      <c r="C270" s="17">
        <f t="shared" si="13"/>
        <v>459718.00897244178</v>
      </c>
      <c r="G270" s="11">
        <v>3390.0265511032439</v>
      </c>
      <c r="H270" s="20">
        <f t="shared" si="14"/>
        <v>169501.32755516219</v>
      </c>
      <c r="I270" s="17">
        <f t="shared" si="15"/>
        <v>-262698.1414227729</v>
      </c>
    </row>
    <row r="271" spans="1:9" x14ac:dyDescent="0.35">
      <c r="A271" s="11">
        <v>12275.276955473495</v>
      </c>
      <c r="B271" s="20">
        <f t="shared" si="12"/>
        <v>300000</v>
      </c>
      <c r="C271" s="17">
        <f t="shared" si="13"/>
        <v>359269.38688314462</v>
      </c>
      <c r="G271" s="11">
        <v>3706.5034943693349</v>
      </c>
      <c r="H271" s="20">
        <f t="shared" si="14"/>
        <v>185325.17471846673</v>
      </c>
      <c r="I271" s="17">
        <f t="shared" si="15"/>
        <v>-240544.75539414654</v>
      </c>
    </row>
    <row r="272" spans="1:9" x14ac:dyDescent="0.35">
      <c r="A272" s="11">
        <v>14025.055696279793</v>
      </c>
      <c r="B272" s="20">
        <f t="shared" si="12"/>
        <v>300000</v>
      </c>
      <c r="C272" s="17">
        <f t="shared" si="13"/>
        <v>481753.89873958554</v>
      </c>
      <c r="G272" s="11">
        <v>3111.0873744926298</v>
      </c>
      <c r="H272" s="20">
        <f t="shared" si="14"/>
        <v>155554.36872463149</v>
      </c>
      <c r="I272" s="17">
        <f t="shared" si="15"/>
        <v>-282223.88378551591</v>
      </c>
    </row>
    <row r="273" spans="1:9" x14ac:dyDescent="0.35">
      <c r="A273" s="11">
        <v>14163.7623218482</v>
      </c>
      <c r="B273" s="20">
        <f t="shared" si="12"/>
        <v>300000</v>
      </c>
      <c r="C273" s="17">
        <f t="shared" si="13"/>
        <v>491463.36252937408</v>
      </c>
      <c r="G273" s="11">
        <v>3890.682699056978</v>
      </c>
      <c r="H273" s="20">
        <f t="shared" si="14"/>
        <v>194534.13495284889</v>
      </c>
      <c r="I273" s="17">
        <f t="shared" si="15"/>
        <v>-227652.21106601151</v>
      </c>
    </row>
    <row r="274" spans="1:9" x14ac:dyDescent="0.35">
      <c r="A274" s="11">
        <v>16917.142246772666</v>
      </c>
      <c r="B274" s="20">
        <f t="shared" si="12"/>
        <v>300000</v>
      </c>
      <c r="C274" s="17">
        <f t="shared" si="13"/>
        <v>550000</v>
      </c>
      <c r="G274" s="11">
        <v>6903.4699545274216</v>
      </c>
      <c r="H274" s="20">
        <f t="shared" si="14"/>
        <v>300000</v>
      </c>
      <c r="I274" s="17">
        <f t="shared" si="15"/>
        <v>-16757.1031830805</v>
      </c>
    </row>
    <row r="275" spans="1:9" x14ac:dyDescent="0.35">
      <c r="A275" s="11">
        <v>13648.304696798608</v>
      </c>
      <c r="B275" s="20">
        <f t="shared" si="12"/>
        <v>300000</v>
      </c>
      <c r="C275" s="17">
        <f t="shared" si="13"/>
        <v>455381.32877590263</v>
      </c>
      <c r="G275" s="11">
        <v>7316.8431653798025</v>
      </c>
      <c r="H275" s="20">
        <f t="shared" si="14"/>
        <v>300000</v>
      </c>
      <c r="I275" s="17">
        <f t="shared" si="15"/>
        <v>12179.021576586179</v>
      </c>
    </row>
    <row r="276" spans="1:9" x14ac:dyDescent="0.35">
      <c r="A276" s="11">
        <v>12482.039857173375</v>
      </c>
      <c r="B276" s="20">
        <f t="shared" si="12"/>
        <v>300000</v>
      </c>
      <c r="C276" s="17">
        <f t="shared" si="13"/>
        <v>373742.79000213626</v>
      </c>
      <c r="G276" s="11">
        <v>3706.5034943693349</v>
      </c>
      <c r="H276" s="20">
        <f t="shared" si="14"/>
        <v>185325.17471846673</v>
      </c>
      <c r="I276" s="17">
        <f t="shared" si="15"/>
        <v>-240544.75539414654</v>
      </c>
    </row>
    <row r="277" spans="1:9" x14ac:dyDescent="0.35">
      <c r="A277" s="11">
        <v>14393.719290749839</v>
      </c>
      <c r="B277" s="20">
        <f t="shared" si="12"/>
        <v>300000</v>
      </c>
      <c r="C277" s="17">
        <f t="shared" si="13"/>
        <v>507560.35035248869</v>
      </c>
      <c r="G277" s="11">
        <v>6196.2034974211856</v>
      </c>
      <c r="H277" s="20">
        <f t="shared" si="14"/>
        <v>300000</v>
      </c>
      <c r="I277" s="17">
        <f t="shared" si="15"/>
        <v>-66265.755180516979</v>
      </c>
    </row>
    <row r="278" spans="1:9" x14ac:dyDescent="0.35">
      <c r="A278" s="11">
        <v>14433.698538163397</v>
      </c>
      <c r="B278" s="20">
        <f t="shared" si="12"/>
        <v>300000</v>
      </c>
      <c r="C278" s="17">
        <f t="shared" si="13"/>
        <v>510358.89767143782</v>
      </c>
      <c r="G278" s="11">
        <v>7605.3956724753562</v>
      </c>
      <c r="H278" s="20">
        <f t="shared" si="14"/>
        <v>300000</v>
      </c>
      <c r="I278" s="17">
        <f t="shared" si="15"/>
        <v>32377.697073274874</v>
      </c>
    </row>
    <row r="279" spans="1:9" x14ac:dyDescent="0.35">
      <c r="A279" s="11">
        <v>16449.751274147769</v>
      </c>
      <c r="B279" s="20">
        <f t="shared" si="12"/>
        <v>300000</v>
      </c>
      <c r="C279" s="17">
        <f t="shared" si="13"/>
        <v>550000</v>
      </c>
      <c r="G279" s="11">
        <v>7679.5556505020295</v>
      </c>
      <c r="H279" s="20">
        <f t="shared" si="14"/>
        <v>300000</v>
      </c>
      <c r="I279" s="17">
        <f t="shared" si="15"/>
        <v>37568.895535142045</v>
      </c>
    </row>
    <row r="280" spans="1:9" x14ac:dyDescent="0.35">
      <c r="A280" s="11">
        <v>13113.467818231758</v>
      </c>
      <c r="B280" s="20">
        <f t="shared" si="12"/>
        <v>300000</v>
      </c>
      <c r="C280" s="17">
        <f t="shared" si="13"/>
        <v>417942.74727622303</v>
      </c>
      <c r="G280" s="11">
        <v>4246.5285195471051</v>
      </c>
      <c r="H280" s="20">
        <f t="shared" si="14"/>
        <v>212326.42597735525</v>
      </c>
      <c r="I280" s="17">
        <f t="shared" si="15"/>
        <v>-202743.00363170262</v>
      </c>
    </row>
    <row r="281" spans="1:9" x14ac:dyDescent="0.35">
      <c r="A281" s="11">
        <v>15129.978331858272</v>
      </c>
      <c r="B281" s="20">
        <f t="shared" si="12"/>
        <v>300000</v>
      </c>
      <c r="C281" s="17">
        <f t="shared" si="13"/>
        <v>550000</v>
      </c>
      <c r="G281" s="11">
        <v>7592.5778984954377</v>
      </c>
      <c r="H281" s="20">
        <f t="shared" si="14"/>
        <v>300000</v>
      </c>
      <c r="I281" s="17">
        <f t="shared" si="15"/>
        <v>31480.452894680668</v>
      </c>
    </row>
    <row r="282" spans="1:9" x14ac:dyDescent="0.35">
      <c r="A282" s="11">
        <v>15124.027222510453</v>
      </c>
      <c r="B282" s="20">
        <f t="shared" si="12"/>
        <v>300000</v>
      </c>
      <c r="C282" s="17">
        <f t="shared" si="13"/>
        <v>550000</v>
      </c>
      <c r="G282" s="11">
        <v>5666.4021729178749</v>
      </c>
      <c r="H282" s="20">
        <f t="shared" si="14"/>
        <v>283320.10864589375</v>
      </c>
      <c r="I282" s="17">
        <f t="shared" si="15"/>
        <v>-103351.84789574874</v>
      </c>
    </row>
    <row r="283" spans="1:9" x14ac:dyDescent="0.35">
      <c r="A283" s="11">
        <v>13307.87072359386</v>
      </c>
      <c r="B283" s="20">
        <f t="shared" si="12"/>
        <v>300000</v>
      </c>
      <c r="C283" s="17">
        <f t="shared" si="13"/>
        <v>431550.95065157022</v>
      </c>
      <c r="G283" s="11">
        <v>7849.543748283334</v>
      </c>
      <c r="H283" s="20">
        <f t="shared" si="14"/>
        <v>300000</v>
      </c>
      <c r="I283" s="17">
        <f t="shared" si="15"/>
        <v>49468.062379833427</v>
      </c>
    </row>
    <row r="284" spans="1:9" x14ac:dyDescent="0.35">
      <c r="A284" s="11">
        <v>12869.167149876401</v>
      </c>
      <c r="B284" s="20">
        <f t="shared" si="12"/>
        <v>300000</v>
      </c>
      <c r="C284" s="17">
        <f t="shared" si="13"/>
        <v>400841.70049134805</v>
      </c>
      <c r="G284" s="11">
        <v>7365.9779656361588</v>
      </c>
      <c r="H284" s="20">
        <f t="shared" si="14"/>
        <v>300000</v>
      </c>
      <c r="I284" s="17">
        <f t="shared" si="15"/>
        <v>15618.457594531123</v>
      </c>
    </row>
    <row r="285" spans="1:9" x14ac:dyDescent="0.35">
      <c r="A285" s="11">
        <v>13513.870662556841</v>
      </c>
      <c r="B285" s="20">
        <f t="shared" si="12"/>
        <v>300000</v>
      </c>
      <c r="C285" s="17">
        <f t="shared" si="13"/>
        <v>445970.9463789789</v>
      </c>
      <c r="G285" s="11">
        <v>7277.6268807031465</v>
      </c>
      <c r="H285" s="20">
        <f t="shared" si="14"/>
        <v>300000</v>
      </c>
      <c r="I285" s="17">
        <f t="shared" si="15"/>
        <v>9433.8816492202459</v>
      </c>
    </row>
    <row r="286" spans="1:9" x14ac:dyDescent="0.35">
      <c r="A286" s="11">
        <v>16091.769157994324</v>
      </c>
      <c r="B286" s="20">
        <f t="shared" si="12"/>
        <v>300000</v>
      </c>
      <c r="C286" s="17">
        <f t="shared" si="13"/>
        <v>550000</v>
      </c>
      <c r="G286" s="11">
        <v>4687.2157963805048</v>
      </c>
      <c r="H286" s="20">
        <f t="shared" si="14"/>
        <v>234360.78981902523</v>
      </c>
      <c r="I286" s="17">
        <f t="shared" si="15"/>
        <v>-171894.89425336465</v>
      </c>
    </row>
    <row r="287" spans="1:9" x14ac:dyDescent="0.35">
      <c r="A287" s="11">
        <v>14829.52360606708</v>
      </c>
      <c r="B287" s="20">
        <f t="shared" si="12"/>
        <v>300000</v>
      </c>
      <c r="C287" s="17">
        <f t="shared" si="13"/>
        <v>538066.65242469555</v>
      </c>
      <c r="G287" s="11">
        <v>5943.6628315073094</v>
      </c>
      <c r="H287" s="20">
        <f t="shared" si="14"/>
        <v>297183.14157536544</v>
      </c>
      <c r="I287" s="17">
        <f t="shared" si="15"/>
        <v>-83943.601794488321</v>
      </c>
    </row>
    <row r="288" spans="1:9" x14ac:dyDescent="0.35">
      <c r="A288" s="11">
        <v>16680.92898342845</v>
      </c>
      <c r="B288" s="20">
        <f t="shared" si="12"/>
        <v>300000</v>
      </c>
      <c r="C288" s="17">
        <f t="shared" si="13"/>
        <v>550000</v>
      </c>
      <c r="G288" s="11">
        <v>4459.0899380474257</v>
      </c>
      <c r="H288" s="20">
        <f t="shared" si="14"/>
        <v>222954.49690237129</v>
      </c>
      <c r="I288" s="17">
        <f t="shared" si="15"/>
        <v>-187863.70433668018</v>
      </c>
    </row>
    <row r="289" spans="1:9" x14ac:dyDescent="0.35">
      <c r="A289" s="11">
        <v>16998.779259620962</v>
      </c>
      <c r="B289" s="20">
        <f t="shared" si="12"/>
        <v>300000</v>
      </c>
      <c r="C289" s="17">
        <f t="shared" si="13"/>
        <v>550000</v>
      </c>
      <c r="G289" s="11">
        <v>6333.6893826105534</v>
      </c>
      <c r="H289" s="20">
        <f t="shared" si="14"/>
        <v>300000</v>
      </c>
      <c r="I289" s="17">
        <f t="shared" si="15"/>
        <v>-56641.743217261275</v>
      </c>
    </row>
    <row r="290" spans="1:9" x14ac:dyDescent="0.35">
      <c r="A290" s="11">
        <v>15731.955931272318</v>
      </c>
      <c r="B290" s="20">
        <f t="shared" ref="B290:B353" si="16">50*MIN(6000,A290)</f>
        <v>300000</v>
      </c>
      <c r="C290" s="17">
        <f t="shared" ref="C290:C353" si="17">70*MIN(15000,A290)-500000</f>
        <v>550000</v>
      </c>
      <c r="G290" s="11">
        <v>3122.2266304513687</v>
      </c>
      <c r="H290" s="20">
        <f t="shared" ref="H290:H353" si="18">50*MIN(6000,G290)</f>
        <v>156111.33152256842</v>
      </c>
      <c r="I290" s="17">
        <f t="shared" ref="I290:I353" si="19">70*MIN(15000,G290)-500000</f>
        <v>-281444.13586840418</v>
      </c>
    </row>
    <row r="291" spans="1:9" x14ac:dyDescent="0.35">
      <c r="A291" s="11">
        <v>16065.828424939726</v>
      </c>
      <c r="B291" s="20">
        <f t="shared" si="16"/>
        <v>300000</v>
      </c>
      <c r="C291" s="17">
        <f t="shared" si="17"/>
        <v>550000</v>
      </c>
      <c r="G291" s="11">
        <v>3993.5300759910888</v>
      </c>
      <c r="H291" s="20">
        <f t="shared" si="18"/>
        <v>199676.50379955443</v>
      </c>
      <c r="I291" s="17">
        <f t="shared" si="19"/>
        <v>-220452.89468062378</v>
      </c>
    </row>
    <row r="292" spans="1:9" x14ac:dyDescent="0.35">
      <c r="A292" s="11">
        <v>16183.782464064454</v>
      </c>
      <c r="B292" s="20">
        <f t="shared" si="16"/>
        <v>300000</v>
      </c>
      <c r="C292" s="17">
        <f t="shared" si="17"/>
        <v>550000</v>
      </c>
      <c r="G292" s="11">
        <v>4746.11651966918</v>
      </c>
      <c r="H292" s="20">
        <f t="shared" si="18"/>
        <v>237305.82598345901</v>
      </c>
      <c r="I292" s="17">
        <f t="shared" si="19"/>
        <v>-167771.84362315742</v>
      </c>
    </row>
    <row r="293" spans="1:9" x14ac:dyDescent="0.35">
      <c r="A293" s="11">
        <v>12809.961241492965</v>
      </c>
      <c r="B293" s="20">
        <f t="shared" si="16"/>
        <v>300000</v>
      </c>
      <c r="C293" s="17">
        <f t="shared" si="17"/>
        <v>396697.28690450755</v>
      </c>
      <c r="G293" s="11">
        <v>3656.3005462813198</v>
      </c>
      <c r="H293" s="20">
        <f t="shared" si="18"/>
        <v>182815.02731406598</v>
      </c>
      <c r="I293" s="17">
        <f t="shared" si="19"/>
        <v>-244058.9617603076</v>
      </c>
    </row>
    <row r="294" spans="1:9" x14ac:dyDescent="0.35">
      <c r="A294" s="11">
        <v>13472.975859859005</v>
      </c>
      <c r="B294" s="20">
        <f t="shared" si="16"/>
        <v>300000</v>
      </c>
      <c r="C294" s="17">
        <f t="shared" si="17"/>
        <v>443108.31019013037</v>
      </c>
      <c r="G294" s="11">
        <v>7119.9987792596212</v>
      </c>
      <c r="H294" s="20">
        <f t="shared" si="18"/>
        <v>300000</v>
      </c>
      <c r="I294" s="17">
        <f t="shared" si="19"/>
        <v>-1600.0854518265114</v>
      </c>
    </row>
    <row r="295" spans="1:9" x14ac:dyDescent="0.35">
      <c r="A295" s="11">
        <v>12912.961210974456</v>
      </c>
      <c r="B295" s="20">
        <f t="shared" si="16"/>
        <v>300000</v>
      </c>
      <c r="C295" s="17">
        <f t="shared" si="17"/>
        <v>403907.28476821189</v>
      </c>
      <c r="G295" s="11">
        <v>7551.0727256080809</v>
      </c>
      <c r="H295" s="20">
        <f t="shared" si="18"/>
        <v>300000</v>
      </c>
      <c r="I295" s="17">
        <f t="shared" si="19"/>
        <v>28575.090792565607</v>
      </c>
    </row>
    <row r="296" spans="1:9" x14ac:dyDescent="0.35">
      <c r="A296" s="11">
        <v>13642.811365092928</v>
      </c>
      <c r="B296" s="20">
        <f t="shared" si="16"/>
        <v>300000</v>
      </c>
      <c r="C296" s="17">
        <f t="shared" si="17"/>
        <v>454996.79555650498</v>
      </c>
      <c r="G296" s="11">
        <v>7082.1558275093848</v>
      </c>
      <c r="H296" s="20">
        <f t="shared" si="18"/>
        <v>300000</v>
      </c>
      <c r="I296" s="17">
        <f t="shared" si="19"/>
        <v>-4249.0920743430615</v>
      </c>
    </row>
    <row r="297" spans="1:9" x14ac:dyDescent="0.35">
      <c r="A297" s="11">
        <v>16792.168950468458</v>
      </c>
      <c r="B297" s="20">
        <f t="shared" si="16"/>
        <v>300000</v>
      </c>
      <c r="C297" s="17">
        <f t="shared" si="17"/>
        <v>550000</v>
      </c>
      <c r="G297" s="11">
        <v>3649.8916592913602</v>
      </c>
      <c r="H297" s="20">
        <f t="shared" si="18"/>
        <v>182494.58296456802</v>
      </c>
      <c r="I297" s="17">
        <f t="shared" si="19"/>
        <v>-244507.58384960479</v>
      </c>
    </row>
    <row r="298" spans="1:9" x14ac:dyDescent="0.35">
      <c r="A298" s="11">
        <v>16365.062410351878</v>
      </c>
      <c r="B298" s="20">
        <f t="shared" si="16"/>
        <v>300000</v>
      </c>
      <c r="C298" s="17">
        <f t="shared" si="17"/>
        <v>550000</v>
      </c>
      <c r="G298" s="11">
        <v>3059.2059083834347</v>
      </c>
      <c r="H298" s="20">
        <f t="shared" si="18"/>
        <v>152960.29541917174</v>
      </c>
      <c r="I298" s="17">
        <f t="shared" si="19"/>
        <v>-285855.58641315956</v>
      </c>
    </row>
    <row r="299" spans="1:9" x14ac:dyDescent="0.35">
      <c r="A299" s="11">
        <v>12974.456007568591</v>
      </c>
      <c r="B299" s="20">
        <f t="shared" si="16"/>
        <v>300000</v>
      </c>
      <c r="C299" s="17">
        <f t="shared" si="17"/>
        <v>408211.9205298014</v>
      </c>
      <c r="G299" s="11">
        <v>6200.9338663899653</v>
      </c>
      <c r="H299" s="20">
        <f t="shared" si="18"/>
        <v>300000</v>
      </c>
      <c r="I299" s="17">
        <f t="shared" si="19"/>
        <v>-65934.62935270241</v>
      </c>
    </row>
    <row r="300" spans="1:9" x14ac:dyDescent="0.35">
      <c r="A300" s="11">
        <v>12490.432447279274</v>
      </c>
      <c r="B300" s="20">
        <f t="shared" si="16"/>
        <v>300000</v>
      </c>
      <c r="C300" s="17">
        <f t="shared" si="17"/>
        <v>374330.27130954922</v>
      </c>
      <c r="G300" s="11">
        <v>4041.9019135105441</v>
      </c>
      <c r="H300" s="20">
        <f t="shared" si="18"/>
        <v>202095.09567552721</v>
      </c>
      <c r="I300" s="17">
        <f t="shared" si="19"/>
        <v>-217066.86605426192</v>
      </c>
    </row>
    <row r="301" spans="1:9" x14ac:dyDescent="0.35">
      <c r="A301" s="11">
        <v>12419.629505294961</v>
      </c>
      <c r="B301" s="20">
        <f t="shared" si="16"/>
        <v>300000</v>
      </c>
      <c r="C301" s="17">
        <f t="shared" si="17"/>
        <v>369374.06537064724</v>
      </c>
      <c r="G301" s="11">
        <v>7097.415082247383</v>
      </c>
      <c r="H301" s="20">
        <f t="shared" si="18"/>
        <v>300000</v>
      </c>
      <c r="I301" s="17">
        <f t="shared" si="19"/>
        <v>-3180.9442426831811</v>
      </c>
    </row>
    <row r="302" spans="1:9" x14ac:dyDescent="0.35">
      <c r="A302" s="11">
        <v>15167.821283608508</v>
      </c>
      <c r="B302" s="20">
        <f t="shared" si="16"/>
        <v>300000</v>
      </c>
      <c r="C302" s="17">
        <f t="shared" si="17"/>
        <v>550000</v>
      </c>
      <c r="G302" s="11">
        <v>5566.6066469313637</v>
      </c>
      <c r="H302" s="20">
        <f t="shared" si="18"/>
        <v>278330.33234656818</v>
      </c>
      <c r="I302" s="17">
        <f t="shared" si="19"/>
        <v>-110337.53471480455</v>
      </c>
    </row>
    <row r="303" spans="1:9" x14ac:dyDescent="0.35">
      <c r="A303" s="11">
        <v>12917.538987395856</v>
      </c>
      <c r="B303" s="20">
        <f t="shared" si="16"/>
        <v>300000</v>
      </c>
      <c r="C303" s="17">
        <f t="shared" si="17"/>
        <v>404227.72911770991</v>
      </c>
      <c r="G303" s="11">
        <v>7640.0341807306131</v>
      </c>
      <c r="H303" s="20">
        <f t="shared" si="18"/>
        <v>300000</v>
      </c>
      <c r="I303" s="17">
        <f t="shared" si="19"/>
        <v>34802.392651142902</v>
      </c>
    </row>
    <row r="304" spans="1:9" x14ac:dyDescent="0.35">
      <c r="A304" s="11">
        <v>13382.030701620533</v>
      </c>
      <c r="B304" s="20">
        <f t="shared" si="16"/>
        <v>300000</v>
      </c>
      <c r="C304" s="17">
        <f t="shared" si="17"/>
        <v>436742.14911343739</v>
      </c>
      <c r="G304" s="11">
        <v>5312.5400555436872</v>
      </c>
      <c r="H304" s="20">
        <f t="shared" si="18"/>
        <v>265627.00277718436</v>
      </c>
      <c r="I304" s="17">
        <f t="shared" si="19"/>
        <v>-128122.19611194188</v>
      </c>
    </row>
    <row r="305" spans="1:9" x14ac:dyDescent="0.35">
      <c r="A305" s="11">
        <v>13256.752220221564</v>
      </c>
      <c r="B305" s="20">
        <f t="shared" si="16"/>
        <v>300000</v>
      </c>
      <c r="C305" s="17">
        <f t="shared" si="17"/>
        <v>427972.65541550948</v>
      </c>
      <c r="G305" s="11">
        <v>4110.1107821893984</v>
      </c>
      <c r="H305" s="20">
        <f t="shared" si="18"/>
        <v>205505.53910946992</v>
      </c>
      <c r="I305" s="17">
        <f t="shared" si="19"/>
        <v>-212292.2452467421</v>
      </c>
    </row>
    <row r="306" spans="1:9" x14ac:dyDescent="0.35">
      <c r="A306" s="11">
        <v>15099.917600024415</v>
      </c>
      <c r="B306" s="20">
        <f t="shared" si="16"/>
        <v>300000</v>
      </c>
      <c r="C306" s="17">
        <f t="shared" si="17"/>
        <v>550000</v>
      </c>
      <c r="G306" s="11">
        <v>4290.322580645161</v>
      </c>
      <c r="H306" s="20">
        <f t="shared" si="18"/>
        <v>214516.12903225806</v>
      </c>
      <c r="I306" s="17">
        <f t="shared" si="19"/>
        <v>-199677.41935483873</v>
      </c>
    </row>
    <row r="307" spans="1:9" x14ac:dyDescent="0.35">
      <c r="A307" s="11">
        <v>16855.189672536391</v>
      </c>
      <c r="B307" s="20">
        <f t="shared" si="16"/>
        <v>300000</v>
      </c>
      <c r="C307" s="17">
        <f t="shared" si="17"/>
        <v>550000</v>
      </c>
      <c r="G307" s="11">
        <v>5473.8303781243321</v>
      </c>
      <c r="H307" s="20">
        <f t="shared" si="18"/>
        <v>273691.5189062166</v>
      </c>
      <c r="I307" s="17">
        <f t="shared" si="19"/>
        <v>-116831.87353129673</v>
      </c>
    </row>
    <row r="308" spans="1:9" x14ac:dyDescent="0.35">
      <c r="A308" s="11">
        <v>12174.413281655325</v>
      </c>
      <c r="B308" s="20">
        <f t="shared" si="16"/>
        <v>300000</v>
      </c>
      <c r="C308" s="17">
        <f t="shared" si="17"/>
        <v>352208.92971587274</v>
      </c>
      <c r="G308" s="11">
        <v>4922.5135044404433</v>
      </c>
      <c r="H308" s="20">
        <f t="shared" si="18"/>
        <v>246125.67522202217</v>
      </c>
      <c r="I308" s="17">
        <f t="shared" si="19"/>
        <v>-155424.05468916899</v>
      </c>
    </row>
    <row r="309" spans="1:9" x14ac:dyDescent="0.35">
      <c r="A309" s="11">
        <v>14644.581438642537</v>
      </c>
      <c r="B309" s="20">
        <f t="shared" si="16"/>
        <v>300000</v>
      </c>
      <c r="C309" s="17">
        <f t="shared" si="17"/>
        <v>525120.70070497761</v>
      </c>
      <c r="G309" s="11">
        <v>5564.3177587206637</v>
      </c>
      <c r="H309" s="20">
        <f t="shared" si="18"/>
        <v>278215.88793603319</v>
      </c>
      <c r="I309" s="17">
        <f t="shared" si="19"/>
        <v>-110497.75688955357</v>
      </c>
    </row>
    <row r="310" spans="1:9" x14ac:dyDescent="0.35">
      <c r="A310" s="11">
        <v>13900.082399975585</v>
      </c>
      <c r="B310" s="20">
        <f t="shared" si="16"/>
        <v>300000</v>
      </c>
      <c r="C310" s="17">
        <f t="shared" si="17"/>
        <v>473005.76799829095</v>
      </c>
      <c r="G310" s="11">
        <v>5217.7800836207161</v>
      </c>
      <c r="H310" s="20">
        <f t="shared" si="18"/>
        <v>260889.00418103579</v>
      </c>
      <c r="I310" s="17">
        <f t="shared" si="19"/>
        <v>-134755.39414654986</v>
      </c>
    </row>
    <row r="311" spans="1:9" x14ac:dyDescent="0.35">
      <c r="A311" s="11">
        <v>12784.173100985749</v>
      </c>
      <c r="B311" s="20">
        <f t="shared" si="16"/>
        <v>300000</v>
      </c>
      <c r="C311" s="17">
        <f t="shared" si="17"/>
        <v>394892.11706900236</v>
      </c>
      <c r="G311" s="11">
        <v>3393.5361796929838</v>
      </c>
      <c r="H311" s="20">
        <f t="shared" si="18"/>
        <v>169676.80898464919</v>
      </c>
      <c r="I311" s="17">
        <f t="shared" si="19"/>
        <v>-262452.46742149116</v>
      </c>
    </row>
    <row r="312" spans="1:9" x14ac:dyDescent="0.35">
      <c r="A312" s="11">
        <v>13736.19800408948</v>
      </c>
      <c r="B312" s="20">
        <f t="shared" si="16"/>
        <v>300000</v>
      </c>
      <c r="C312" s="17">
        <f t="shared" si="17"/>
        <v>461533.86028626352</v>
      </c>
      <c r="G312" s="11">
        <v>4340.5255287331765</v>
      </c>
      <c r="H312" s="20">
        <f t="shared" si="18"/>
        <v>217026.27643665884</v>
      </c>
      <c r="I312" s="17">
        <f t="shared" si="19"/>
        <v>-196163.21298867767</v>
      </c>
    </row>
    <row r="313" spans="1:9" x14ac:dyDescent="0.35">
      <c r="A313" s="11">
        <v>12898.770104068117</v>
      </c>
      <c r="B313" s="20">
        <f t="shared" si="16"/>
        <v>300000</v>
      </c>
      <c r="C313" s="17">
        <f t="shared" si="17"/>
        <v>402913.90728476818</v>
      </c>
      <c r="G313" s="11">
        <v>6929.7158726767784</v>
      </c>
      <c r="H313" s="20">
        <f t="shared" si="18"/>
        <v>300000</v>
      </c>
      <c r="I313" s="17">
        <f t="shared" si="19"/>
        <v>-14919.888912625494</v>
      </c>
    </row>
    <row r="314" spans="1:9" x14ac:dyDescent="0.35">
      <c r="A314" s="11">
        <v>12360.118411816768</v>
      </c>
      <c r="B314" s="20">
        <f t="shared" si="16"/>
        <v>300000</v>
      </c>
      <c r="C314" s="17">
        <f t="shared" si="17"/>
        <v>365208.28882717376</v>
      </c>
      <c r="G314" s="11">
        <v>4813.8676107058927</v>
      </c>
      <c r="H314" s="20">
        <f t="shared" si="18"/>
        <v>240693.38053529465</v>
      </c>
      <c r="I314" s="17">
        <f t="shared" si="19"/>
        <v>-163029.26725058752</v>
      </c>
    </row>
    <row r="315" spans="1:9" x14ac:dyDescent="0.35">
      <c r="A315" s="11">
        <v>16612.872707296978</v>
      </c>
      <c r="B315" s="20">
        <f t="shared" si="16"/>
        <v>300000</v>
      </c>
      <c r="C315" s="17">
        <f t="shared" si="17"/>
        <v>550000</v>
      </c>
      <c r="G315" s="11">
        <v>5883.8465529343548</v>
      </c>
      <c r="H315" s="20">
        <f t="shared" si="18"/>
        <v>294192.32764671772</v>
      </c>
      <c r="I315" s="17">
        <f t="shared" si="19"/>
        <v>-88130.74129459518</v>
      </c>
    </row>
    <row r="316" spans="1:9" x14ac:dyDescent="0.35">
      <c r="A316" s="11">
        <v>12992.156743064668</v>
      </c>
      <c r="B316" s="20">
        <f t="shared" si="16"/>
        <v>300000</v>
      </c>
      <c r="C316" s="17">
        <f t="shared" si="17"/>
        <v>409450.97201452684</v>
      </c>
      <c r="G316" s="11">
        <v>5974.4865260780662</v>
      </c>
      <c r="H316" s="20">
        <f t="shared" si="18"/>
        <v>298724.3263039033</v>
      </c>
      <c r="I316" s="17">
        <f t="shared" si="19"/>
        <v>-81785.94317453535</v>
      </c>
    </row>
    <row r="317" spans="1:9" x14ac:dyDescent="0.35">
      <c r="A317" s="11">
        <v>12797.753837702567</v>
      </c>
      <c r="B317" s="20">
        <f t="shared" si="16"/>
        <v>300000</v>
      </c>
      <c r="C317" s="17">
        <f t="shared" si="17"/>
        <v>395842.76863917965</v>
      </c>
      <c r="G317" s="11">
        <v>5896.3591418195138</v>
      </c>
      <c r="H317" s="20">
        <f t="shared" si="18"/>
        <v>294817.95709097572</v>
      </c>
      <c r="I317" s="17">
        <f t="shared" si="19"/>
        <v>-87254.860072634066</v>
      </c>
    </row>
    <row r="318" spans="1:9" x14ac:dyDescent="0.35">
      <c r="A318" s="11">
        <v>14985.168004394665</v>
      </c>
      <c r="B318" s="20">
        <f t="shared" si="16"/>
        <v>300000</v>
      </c>
      <c r="C318" s="17">
        <f t="shared" si="17"/>
        <v>548961.76030762657</v>
      </c>
      <c r="G318" s="11">
        <v>7763.4815515610217</v>
      </c>
      <c r="H318" s="20">
        <f t="shared" si="18"/>
        <v>300000</v>
      </c>
      <c r="I318" s="17">
        <f t="shared" si="19"/>
        <v>43443.708609271562</v>
      </c>
    </row>
    <row r="319" spans="1:9" x14ac:dyDescent="0.35">
      <c r="A319" s="11">
        <v>15805.50553910947</v>
      </c>
      <c r="B319" s="20">
        <f t="shared" si="16"/>
        <v>300000</v>
      </c>
      <c r="C319" s="17">
        <f t="shared" si="17"/>
        <v>550000</v>
      </c>
      <c r="G319" s="11">
        <v>3120.5481124301891</v>
      </c>
      <c r="H319" s="20">
        <f t="shared" si="18"/>
        <v>156027.40562150945</v>
      </c>
      <c r="I319" s="17">
        <f t="shared" si="19"/>
        <v>-281561.63212988677</v>
      </c>
    </row>
    <row r="320" spans="1:9" x14ac:dyDescent="0.35">
      <c r="A320" s="11">
        <v>12111.850337229529</v>
      </c>
      <c r="B320" s="20">
        <f t="shared" si="16"/>
        <v>300000</v>
      </c>
      <c r="C320" s="17">
        <f t="shared" si="17"/>
        <v>347829.52360606706</v>
      </c>
      <c r="G320" s="11">
        <v>4102.4811548203988</v>
      </c>
      <c r="H320" s="20">
        <f t="shared" si="18"/>
        <v>205124.05774101993</v>
      </c>
      <c r="I320" s="17">
        <f t="shared" si="19"/>
        <v>-212826.31916257209</v>
      </c>
    </row>
    <row r="321" spans="1:9" x14ac:dyDescent="0.35">
      <c r="A321" s="11">
        <v>16643.696401867732</v>
      </c>
      <c r="B321" s="20">
        <f t="shared" si="16"/>
        <v>300000</v>
      </c>
      <c r="C321" s="17">
        <f t="shared" si="17"/>
        <v>550000</v>
      </c>
      <c r="G321" s="11">
        <v>7708.7008270516071</v>
      </c>
      <c r="H321" s="20">
        <f t="shared" si="18"/>
        <v>300000</v>
      </c>
      <c r="I321" s="17">
        <f t="shared" si="19"/>
        <v>39609.057893612538</v>
      </c>
    </row>
    <row r="322" spans="1:9" x14ac:dyDescent="0.35">
      <c r="A322" s="11">
        <v>15935.819574571979</v>
      </c>
      <c r="B322" s="20">
        <f t="shared" si="16"/>
        <v>300000</v>
      </c>
      <c r="C322" s="17">
        <f t="shared" si="17"/>
        <v>550000</v>
      </c>
      <c r="G322" s="11">
        <v>6598.437452314829</v>
      </c>
      <c r="H322" s="20">
        <f t="shared" si="18"/>
        <v>300000</v>
      </c>
      <c r="I322" s="17">
        <f t="shared" si="19"/>
        <v>-38109.378337961971</v>
      </c>
    </row>
    <row r="323" spans="1:9" x14ac:dyDescent="0.35">
      <c r="A323" s="11">
        <v>12179.143650624104</v>
      </c>
      <c r="B323" s="20">
        <f t="shared" si="16"/>
        <v>300000</v>
      </c>
      <c r="C323" s="17">
        <f t="shared" si="17"/>
        <v>352540.05554368731</v>
      </c>
      <c r="G323" s="11">
        <v>5216.1015655995361</v>
      </c>
      <c r="H323" s="20">
        <f t="shared" si="18"/>
        <v>260805.07827997679</v>
      </c>
      <c r="I323" s="17">
        <f t="shared" si="19"/>
        <v>-134872.89040803246</v>
      </c>
    </row>
    <row r="324" spans="1:9" x14ac:dyDescent="0.35">
      <c r="A324" s="11">
        <v>15247.01681569872</v>
      </c>
      <c r="B324" s="20">
        <f t="shared" si="16"/>
        <v>300000</v>
      </c>
      <c r="C324" s="17">
        <f t="shared" si="17"/>
        <v>550000</v>
      </c>
      <c r="G324" s="11">
        <v>7766.8385876033817</v>
      </c>
      <c r="H324" s="20">
        <f t="shared" si="18"/>
        <v>300000</v>
      </c>
      <c r="I324" s="17">
        <f t="shared" si="19"/>
        <v>43678.701132236747</v>
      </c>
    </row>
    <row r="325" spans="1:9" x14ac:dyDescent="0.35">
      <c r="A325" s="11">
        <v>15676.107058931242</v>
      </c>
      <c r="B325" s="20">
        <f t="shared" si="16"/>
        <v>300000</v>
      </c>
      <c r="C325" s="17">
        <f t="shared" si="17"/>
        <v>550000</v>
      </c>
      <c r="G325" s="11">
        <v>4608.172856837672</v>
      </c>
      <c r="H325" s="20">
        <f t="shared" si="18"/>
        <v>230408.64284188361</v>
      </c>
      <c r="I325" s="17">
        <f t="shared" si="19"/>
        <v>-177427.90002136293</v>
      </c>
    </row>
    <row r="326" spans="1:9" x14ac:dyDescent="0.35">
      <c r="A326" s="11">
        <v>12910.977507858515</v>
      </c>
      <c r="B326" s="20">
        <f t="shared" si="16"/>
        <v>300000</v>
      </c>
      <c r="C326" s="17">
        <f t="shared" si="17"/>
        <v>403768.42555009609</v>
      </c>
      <c r="G326" s="11">
        <v>3990.7834101382487</v>
      </c>
      <c r="H326" s="20">
        <f t="shared" si="18"/>
        <v>199539.17050691243</v>
      </c>
      <c r="I326" s="17">
        <f t="shared" si="19"/>
        <v>-220645.16129032261</v>
      </c>
    </row>
    <row r="327" spans="1:9" x14ac:dyDescent="0.35">
      <c r="A327" s="11">
        <v>15880.886257515183</v>
      </c>
      <c r="B327" s="20">
        <f t="shared" si="16"/>
        <v>300000</v>
      </c>
      <c r="C327" s="17">
        <f t="shared" si="17"/>
        <v>550000</v>
      </c>
      <c r="G327" s="11">
        <v>3463.1183812982572</v>
      </c>
      <c r="H327" s="20">
        <f t="shared" si="18"/>
        <v>173155.91906491286</v>
      </c>
      <c r="I327" s="17">
        <f t="shared" si="19"/>
        <v>-257581.71330912199</v>
      </c>
    </row>
    <row r="328" spans="1:9" x14ac:dyDescent="0.35">
      <c r="A328" s="11">
        <v>14722.251045258949</v>
      </c>
      <c r="B328" s="20">
        <f t="shared" si="16"/>
        <v>300000</v>
      </c>
      <c r="C328" s="17">
        <f t="shared" si="17"/>
        <v>530557.5731681264</v>
      </c>
      <c r="G328" s="11">
        <v>7660.7867671742915</v>
      </c>
      <c r="H328" s="20">
        <f t="shared" si="18"/>
        <v>300000</v>
      </c>
      <c r="I328" s="17">
        <f t="shared" si="19"/>
        <v>36255.073702200432</v>
      </c>
    </row>
    <row r="329" spans="1:9" x14ac:dyDescent="0.35">
      <c r="A329" s="11">
        <v>12121.463667714468</v>
      </c>
      <c r="B329" s="20">
        <f t="shared" si="16"/>
        <v>300000</v>
      </c>
      <c r="C329" s="17">
        <f t="shared" si="17"/>
        <v>348502.45674001274</v>
      </c>
      <c r="G329" s="11">
        <v>3295.5717642750328</v>
      </c>
      <c r="H329" s="20">
        <f t="shared" si="18"/>
        <v>164778.58821375165</v>
      </c>
      <c r="I329" s="17">
        <f t="shared" si="19"/>
        <v>-269309.97650074773</v>
      </c>
    </row>
    <row r="330" spans="1:9" x14ac:dyDescent="0.35">
      <c r="A330" s="11">
        <v>14126.987517929625</v>
      </c>
      <c r="B330" s="20">
        <f t="shared" si="16"/>
        <v>300000</v>
      </c>
      <c r="C330" s="17">
        <f t="shared" si="17"/>
        <v>488889.1262550737</v>
      </c>
      <c r="G330" s="11">
        <v>5993.1028168584244</v>
      </c>
      <c r="H330" s="20">
        <f t="shared" si="18"/>
        <v>299655.14084292122</v>
      </c>
      <c r="I330" s="17">
        <f t="shared" si="19"/>
        <v>-80482.802819910285</v>
      </c>
    </row>
    <row r="331" spans="1:9" x14ac:dyDescent="0.35">
      <c r="A331" s="11">
        <v>15078.096865749078</v>
      </c>
      <c r="B331" s="20">
        <f t="shared" si="16"/>
        <v>300000</v>
      </c>
      <c r="C331" s="17">
        <f t="shared" si="17"/>
        <v>550000</v>
      </c>
      <c r="G331" s="11">
        <v>3740.0738547929323</v>
      </c>
      <c r="H331" s="20">
        <f t="shared" si="18"/>
        <v>187003.69273964662</v>
      </c>
      <c r="I331" s="17">
        <f t="shared" si="19"/>
        <v>-238194.83016449475</v>
      </c>
    </row>
    <row r="332" spans="1:9" x14ac:dyDescent="0.35">
      <c r="A332" s="11">
        <v>15089.846491897335</v>
      </c>
      <c r="B332" s="20">
        <f t="shared" si="16"/>
        <v>300000</v>
      </c>
      <c r="C332" s="17">
        <f t="shared" si="17"/>
        <v>550000</v>
      </c>
      <c r="G332" s="11">
        <v>6543.1989501632743</v>
      </c>
      <c r="H332" s="20">
        <f t="shared" si="18"/>
        <v>300000</v>
      </c>
      <c r="I332" s="17">
        <f t="shared" si="19"/>
        <v>-41976.073488570808</v>
      </c>
    </row>
    <row r="333" spans="1:9" x14ac:dyDescent="0.35">
      <c r="A333" s="11">
        <v>12657.979064302499</v>
      </c>
      <c r="B333" s="20">
        <f t="shared" si="16"/>
        <v>300000</v>
      </c>
      <c r="C333" s="17">
        <f t="shared" si="17"/>
        <v>386058.53450117493</v>
      </c>
      <c r="G333" s="11">
        <v>6816.4922025208289</v>
      </c>
      <c r="H333" s="20">
        <f t="shared" si="18"/>
        <v>300000</v>
      </c>
      <c r="I333" s="17">
        <f t="shared" si="19"/>
        <v>-22845.545823541994</v>
      </c>
    </row>
    <row r="334" spans="1:9" x14ac:dyDescent="0.35">
      <c r="A334" s="11">
        <v>16045.838801232949</v>
      </c>
      <c r="B334" s="20">
        <f t="shared" si="16"/>
        <v>300000</v>
      </c>
      <c r="C334" s="17">
        <f t="shared" si="17"/>
        <v>550000</v>
      </c>
      <c r="G334" s="11">
        <v>7007.2328867458109</v>
      </c>
      <c r="H334" s="20">
        <f t="shared" si="18"/>
        <v>300000</v>
      </c>
      <c r="I334" s="17">
        <f t="shared" si="19"/>
        <v>-9493.6979277932551</v>
      </c>
    </row>
    <row r="335" spans="1:9" x14ac:dyDescent="0.35">
      <c r="A335" s="11">
        <v>13393.932920316172</v>
      </c>
      <c r="B335" s="20">
        <f t="shared" si="16"/>
        <v>300000</v>
      </c>
      <c r="C335" s="17">
        <f t="shared" si="17"/>
        <v>437575.30442213209</v>
      </c>
      <c r="G335" s="11">
        <v>4728.4157841731012</v>
      </c>
      <c r="H335" s="20">
        <f t="shared" si="18"/>
        <v>236420.78920865507</v>
      </c>
      <c r="I335" s="17">
        <f t="shared" si="19"/>
        <v>-169010.89510788291</v>
      </c>
    </row>
    <row r="336" spans="1:9" x14ac:dyDescent="0.35">
      <c r="A336" s="11">
        <v>13949.980162968841</v>
      </c>
      <c r="B336" s="20">
        <f t="shared" si="16"/>
        <v>300000</v>
      </c>
      <c r="C336" s="17">
        <f t="shared" si="17"/>
        <v>476498.61140781885</v>
      </c>
      <c r="G336" s="11">
        <v>5207.098605304117</v>
      </c>
      <c r="H336" s="20">
        <f t="shared" si="18"/>
        <v>260354.93026520585</v>
      </c>
      <c r="I336" s="17">
        <f t="shared" si="19"/>
        <v>-135503.09762871184</v>
      </c>
    </row>
    <row r="337" spans="1:9" x14ac:dyDescent="0.35">
      <c r="A337" s="11">
        <v>16577.77642139958</v>
      </c>
      <c r="B337" s="20">
        <f t="shared" si="16"/>
        <v>300000</v>
      </c>
      <c r="C337" s="17">
        <f t="shared" si="17"/>
        <v>550000</v>
      </c>
      <c r="G337" s="11">
        <v>4775.5668813135162</v>
      </c>
      <c r="H337" s="20">
        <f t="shared" si="18"/>
        <v>238778.3440656758</v>
      </c>
      <c r="I337" s="17">
        <f t="shared" si="19"/>
        <v>-165710.31830805389</v>
      </c>
    </row>
    <row r="338" spans="1:9" x14ac:dyDescent="0.35">
      <c r="A338" s="11">
        <v>12014.954069643238</v>
      </c>
      <c r="B338" s="20">
        <f t="shared" si="16"/>
        <v>300000</v>
      </c>
      <c r="C338" s="17">
        <f t="shared" si="17"/>
        <v>341046.78487502667</v>
      </c>
      <c r="G338" s="11">
        <v>4762.9016998809784</v>
      </c>
      <c r="H338" s="20">
        <f t="shared" si="18"/>
        <v>238145.08499404893</v>
      </c>
      <c r="I338" s="17">
        <f t="shared" si="19"/>
        <v>-166596.88100833149</v>
      </c>
    </row>
    <row r="339" spans="1:9" x14ac:dyDescent="0.35">
      <c r="A339" s="11">
        <v>14616.96218756676</v>
      </c>
      <c r="B339" s="20">
        <f t="shared" si="16"/>
        <v>300000</v>
      </c>
      <c r="C339" s="17">
        <f t="shared" si="17"/>
        <v>523187.35312967317</v>
      </c>
      <c r="G339" s="11">
        <v>6102.6642658772544</v>
      </c>
      <c r="H339" s="20">
        <f t="shared" si="18"/>
        <v>300000</v>
      </c>
      <c r="I339" s="17">
        <f t="shared" si="19"/>
        <v>-72813.50138859218</v>
      </c>
    </row>
    <row r="340" spans="1:9" x14ac:dyDescent="0.35">
      <c r="A340" s="11">
        <v>15945.738090151677</v>
      </c>
      <c r="B340" s="20">
        <f t="shared" si="16"/>
        <v>300000</v>
      </c>
      <c r="C340" s="17">
        <f t="shared" si="17"/>
        <v>550000</v>
      </c>
      <c r="G340" s="11">
        <v>3538.1939146092104</v>
      </c>
      <c r="H340" s="20">
        <f t="shared" si="18"/>
        <v>176909.69573046052</v>
      </c>
      <c r="I340" s="17">
        <f t="shared" si="19"/>
        <v>-252326.42597735528</v>
      </c>
    </row>
    <row r="341" spans="1:9" x14ac:dyDescent="0.35">
      <c r="A341" s="11">
        <v>14426.831873531297</v>
      </c>
      <c r="B341" s="20">
        <f t="shared" si="16"/>
        <v>300000</v>
      </c>
      <c r="C341" s="17">
        <f t="shared" si="17"/>
        <v>509878.23114719079</v>
      </c>
      <c r="G341" s="11">
        <v>3290.2310251167332</v>
      </c>
      <c r="H341" s="20">
        <f t="shared" si="18"/>
        <v>164511.55125583668</v>
      </c>
      <c r="I341" s="17">
        <f t="shared" si="19"/>
        <v>-269683.82824182871</v>
      </c>
    </row>
    <row r="342" spans="1:9" x14ac:dyDescent="0.35">
      <c r="A342" s="11">
        <v>14469.710379345073</v>
      </c>
      <c r="B342" s="20">
        <f t="shared" si="16"/>
        <v>300000</v>
      </c>
      <c r="C342" s="17">
        <f t="shared" si="17"/>
        <v>512879.72655415512</v>
      </c>
      <c r="G342" s="11">
        <v>6087.557603686636</v>
      </c>
      <c r="H342" s="20">
        <f t="shared" si="18"/>
        <v>300000</v>
      </c>
      <c r="I342" s="17">
        <f t="shared" si="19"/>
        <v>-73870.967741935456</v>
      </c>
    </row>
    <row r="343" spans="1:9" x14ac:dyDescent="0.35">
      <c r="A343" s="11">
        <v>16717.856379894405</v>
      </c>
      <c r="B343" s="20">
        <f t="shared" si="16"/>
        <v>300000</v>
      </c>
      <c r="C343" s="17">
        <f t="shared" si="17"/>
        <v>550000</v>
      </c>
      <c r="G343" s="11">
        <v>4345.5610827967157</v>
      </c>
      <c r="H343" s="20">
        <f t="shared" si="18"/>
        <v>217278.05413983579</v>
      </c>
      <c r="I343" s="17">
        <f t="shared" si="19"/>
        <v>-195810.72420422989</v>
      </c>
    </row>
    <row r="344" spans="1:9" x14ac:dyDescent="0.35">
      <c r="A344" s="11">
        <v>13837.061677907652</v>
      </c>
      <c r="B344" s="20">
        <f t="shared" si="16"/>
        <v>300000</v>
      </c>
      <c r="C344" s="17">
        <f t="shared" si="17"/>
        <v>468594.31745353562</v>
      </c>
      <c r="G344" s="11">
        <v>3691.5494247260963</v>
      </c>
      <c r="H344" s="20">
        <f t="shared" si="18"/>
        <v>184577.47123630482</v>
      </c>
      <c r="I344" s="17">
        <f t="shared" si="19"/>
        <v>-241591.54026917327</v>
      </c>
    </row>
    <row r="345" spans="1:9" x14ac:dyDescent="0.35">
      <c r="A345" s="11">
        <v>15407.238990447706</v>
      </c>
      <c r="B345" s="20">
        <f t="shared" si="16"/>
        <v>300000</v>
      </c>
      <c r="C345" s="17">
        <f t="shared" si="17"/>
        <v>550000</v>
      </c>
      <c r="G345" s="11">
        <v>3583.2087160863066</v>
      </c>
      <c r="H345" s="20">
        <f t="shared" si="18"/>
        <v>179160.43580431532</v>
      </c>
      <c r="I345" s="17">
        <f t="shared" si="19"/>
        <v>-249175.38987395854</v>
      </c>
    </row>
    <row r="346" spans="1:9" x14ac:dyDescent="0.35">
      <c r="A346" s="11">
        <v>15856.013672292245</v>
      </c>
      <c r="B346" s="20">
        <f t="shared" si="16"/>
        <v>300000</v>
      </c>
      <c r="C346" s="17">
        <f t="shared" si="17"/>
        <v>550000</v>
      </c>
      <c r="G346" s="11">
        <v>6748.1307412945953</v>
      </c>
      <c r="H346" s="20">
        <f t="shared" si="18"/>
        <v>300000</v>
      </c>
      <c r="I346" s="17">
        <f t="shared" si="19"/>
        <v>-27630.848109378305</v>
      </c>
    </row>
    <row r="347" spans="1:9" x14ac:dyDescent="0.35">
      <c r="A347" s="11">
        <v>14703.939939573351</v>
      </c>
      <c r="B347" s="20">
        <f t="shared" si="16"/>
        <v>300000</v>
      </c>
      <c r="C347" s="17">
        <f t="shared" si="17"/>
        <v>529275.79577013454</v>
      </c>
      <c r="G347" s="11">
        <v>6348.4908597064114</v>
      </c>
      <c r="H347" s="20">
        <f t="shared" si="18"/>
        <v>300000</v>
      </c>
      <c r="I347" s="17">
        <f t="shared" si="19"/>
        <v>-55605.639820551209</v>
      </c>
    </row>
    <row r="348" spans="1:9" x14ac:dyDescent="0.35">
      <c r="A348" s="11">
        <v>13063.264870143743</v>
      </c>
      <c r="B348" s="20">
        <f t="shared" si="16"/>
        <v>300000</v>
      </c>
      <c r="C348" s="17">
        <f t="shared" si="17"/>
        <v>414428.54091006203</v>
      </c>
      <c r="G348" s="11">
        <v>4918.6986907559431</v>
      </c>
      <c r="H348" s="20">
        <f t="shared" si="18"/>
        <v>245934.93453779715</v>
      </c>
      <c r="I348" s="17">
        <f t="shared" si="19"/>
        <v>-155691.09164708399</v>
      </c>
    </row>
    <row r="349" spans="1:9" x14ac:dyDescent="0.35">
      <c r="A349" s="11">
        <v>14317.117831965086</v>
      </c>
      <c r="B349" s="20">
        <f t="shared" si="16"/>
        <v>300000</v>
      </c>
      <c r="C349" s="17">
        <f t="shared" si="17"/>
        <v>502198.24823755608</v>
      </c>
      <c r="G349" s="11">
        <v>5626.8807031464585</v>
      </c>
      <c r="H349" s="20">
        <f t="shared" si="18"/>
        <v>281344.03515732294</v>
      </c>
      <c r="I349" s="17">
        <f t="shared" si="19"/>
        <v>-106118.35077974788</v>
      </c>
    </row>
    <row r="350" spans="1:9" x14ac:dyDescent="0.35">
      <c r="A350" s="11">
        <v>15931.699575792718</v>
      </c>
      <c r="B350" s="20">
        <f t="shared" si="16"/>
        <v>300000</v>
      </c>
      <c r="C350" s="17">
        <f t="shared" si="17"/>
        <v>550000</v>
      </c>
      <c r="G350" s="11">
        <v>6146.7635120700706</v>
      </c>
      <c r="H350" s="20">
        <f t="shared" si="18"/>
        <v>300000</v>
      </c>
      <c r="I350" s="17">
        <f t="shared" si="19"/>
        <v>-69726.554155095073</v>
      </c>
    </row>
    <row r="351" spans="1:9" x14ac:dyDescent="0.35">
      <c r="A351" s="11">
        <v>14343.058565019684</v>
      </c>
      <c r="B351" s="20">
        <f t="shared" si="16"/>
        <v>300000</v>
      </c>
      <c r="C351" s="17">
        <f t="shared" si="17"/>
        <v>504014.09955137793</v>
      </c>
      <c r="G351" s="11">
        <v>3448.3169042023987</v>
      </c>
      <c r="H351" s="20">
        <f t="shared" si="18"/>
        <v>172415.84521011994</v>
      </c>
      <c r="I351" s="17">
        <f t="shared" si="19"/>
        <v>-258617.81670583208</v>
      </c>
    </row>
    <row r="352" spans="1:9" x14ac:dyDescent="0.35">
      <c r="A352" s="11">
        <v>13696.218756675924</v>
      </c>
      <c r="B352" s="20">
        <f t="shared" si="16"/>
        <v>300000</v>
      </c>
      <c r="C352" s="17">
        <f t="shared" si="17"/>
        <v>458735.31296731462</v>
      </c>
      <c r="G352" s="11">
        <v>7076.8150883510853</v>
      </c>
      <c r="H352" s="20">
        <f t="shared" si="18"/>
        <v>300000</v>
      </c>
      <c r="I352" s="17">
        <f t="shared" si="19"/>
        <v>-4622.9438154240488</v>
      </c>
    </row>
    <row r="353" spans="1:9" x14ac:dyDescent="0.35">
      <c r="A353" s="11">
        <v>16315.469832453382</v>
      </c>
      <c r="B353" s="20">
        <f t="shared" si="16"/>
        <v>300000</v>
      </c>
      <c r="C353" s="17">
        <f t="shared" si="17"/>
        <v>550000</v>
      </c>
      <c r="G353" s="11">
        <v>5741.1725211340672</v>
      </c>
      <c r="H353" s="20">
        <f t="shared" si="18"/>
        <v>287058.62605670339</v>
      </c>
      <c r="I353" s="17">
        <f t="shared" si="19"/>
        <v>-98117.923520615324</v>
      </c>
    </row>
    <row r="354" spans="1:9" x14ac:dyDescent="0.35">
      <c r="A354" s="11">
        <v>15599.963377788628</v>
      </c>
      <c r="B354" s="20">
        <f t="shared" ref="B354:B417" si="20">50*MIN(6000,A354)</f>
        <v>300000</v>
      </c>
      <c r="C354" s="17">
        <f t="shared" ref="C354:C417" si="21">70*MIN(15000,A354)-500000</f>
        <v>550000</v>
      </c>
      <c r="G354" s="11">
        <v>5150.4867702261417</v>
      </c>
      <c r="H354" s="20">
        <f t="shared" ref="H354:H417" si="22">50*MIN(6000,G354)</f>
        <v>257524.33851130708</v>
      </c>
      <c r="I354" s="17">
        <f t="shared" ref="I354:I417" si="23">70*MIN(15000,G354)-500000</f>
        <v>-139465.92608417006</v>
      </c>
    </row>
    <row r="355" spans="1:9" x14ac:dyDescent="0.35">
      <c r="A355" s="11">
        <v>16288.308359019746</v>
      </c>
      <c r="B355" s="20">
        <f t="shared" si="20"/>
        <v>300000</v>
      </c>
      <c r="C355" s="17">
        <f t="shared" si="21"/>
        <v>550000</v>
      </c>
      <c r="G355" s="11">
        <v>6064.3635364848778</v>
      </c>
      <c r="H355" s="20">
        <f t="shared" si="22"/>
        <v>300000</v>
      </c>
      <c r="I355" s="17">
        <f t="shared" si="23"/>
        <v>-75494.552446058544</v>
      </c>
    </row>
    <row r="356" spans="1:9" x14ac:dyDescent="0.35">
      <c r="A356" s="11">
        <v>16192.175054170355</v>
      </c>
      <c r="B356" s="20">
        <f t="shared" si="20"/>
        <v>300000</v>
      </c>
      <c r="C356" s="17">
        <f t="shared" si="21"/>
        <v>550000</v>
      </c>
      <c r="G356" s="11">
        <v>7350.1083407086398</v>
      </c>
      <c r="H356" s="20">
        <f t="shared" si="22"/>
        <v>300000</v>
      </c>
      <c r="I356" s="17">
        <f t="shared" si="23"/>
        <v>14507.583849604765</v>
      </c>
    </row>
    <row r="357" spans="1:9" x14ac:dyDescent="0.35">
      <c r="A357" s="11">
        <v>15288.521988586077</v>
      </c>
      <c r="B357" s="20">
        <f t="shared" si="20"/>
        <v>300000</v>
      </c>
      <c r="C357" s="17">
        <f t="shared" si="21"/>
        <v>550000</v>
      </c>
      <c r="G357" s="11">
        <v>4552.7817621387367</v>
      </c>
      <c r="H357" s="20">
        <f t="shared" si="22"/>
        <v>227639.08810693683</v>
      </c>
      <c r="I357" s="17">
        <f t="shared" si="23"/>
        <v>-181305.27665028843</v>
      </c>
    </row>
    <row r="358" spans="1:9" x14ac:dyDescent="0.35">
      <c r="A358" s="11">
        <v>14932.218390453811</v>
      </c>
      <c r="B358" s="20">
        <f t="shared" si="20"/>
        <v>300000</v>
      </c>
      <c r="C358" s="17">
        <f t="shared" si="21"/>
        <v>545255.28733176668</v>
      </c>
      <c r="G358" s="11">
        <v>7837.9467146824554</v>
      </c>
      <c r="H358" s="20">
        <f t="shared" si="22"/>
        <v>300000</v>
      </c>
      <c r="I358" s="17">
        <f t="shared" si="23"/>
        <v>48656.270027771825</v>
      </c>
    </row>
    <row r="359" spans="1:9" x14ac:dyDescent="0.35">
      <c r="A359" s="11">
        <v>12632.343516342662</v>
      </c>
      <c r="B359" s="20">
        <f t="shared" si="20"/>
        <v>300000</v>
      </c>
      <c r="C359" s="17">
        <f t="shared" si="21"/>
        <v>384264.04614398628</v>
      </c>
      <c r="G359" s="11">
        <v>6581.8048646504103</v>
      </c>
      <c r="H359" s="20">
        <f t="shared" si="22"/>
        <v>300000</v>
      </c>
      <c r="I359" s="17">
        <f t="shared" si="23"/>
        <v>-39273.659474471293</v>
      </c>
    </row>
    <row r="360" spans="1:9" x14ac:dyDescent="0.35">
      <c r="A360" s="11">
        <v>14850.581377605518</v>
      </c>
      <c r="B360" s="20">
        <f t="shared" si="20"/>
        <v>300000</v>
      </c>
      <c r="C360" s="17">
        <f t="shared" si="21"/>
        <v>539540.69643238629</v>
      </c>
      <c r="G360" s="11">
        <v>7216.4372692037723</v>
      </c>
      <c r="H360" s="20">
        <f t="shared" si="22"/>
        <v>300000</v>
      </c>
      <c r="I360" s="17">
        <f t="shared" si="23"/>
        <v>5150.6088442640612</v>
      </c>
    </row>
    <row r="361" spans="1:9" x14ac:dyDescent="0.35">
      <c r="A361" s="11">
        <v>14102.877895443587</v>
      </c>
      <c r="B361" s="20">
        <f t="shared" si="20"/>
        <v>300000</v>
      </c>
      <c r="C361" s="17">
        <f t="shared" si="21"/>
        <v>487201.4526810511</v>
      </c>
      <c r="G361" s="11">
        <v>4223.1818597979673</v>
      </c>
      <c r="H361" s="20">
        <f t="shared" si="22"/>
        <v>211159.09298989837</v>
      </c>
      <c r="I361" s="17">
        <f t="shared" si="23"/>
        <v>-204377.26981414232</v>
      </c>
    </row>
    <row r="362" spans="1:9" x14ac:dyDescent="0.35">
      <c r="A362" s="11">
        <v>15536.790063173314</v>
      </c>
      <c r="B362" s="20">
        <f t="shared" si="20"/>
        <v>300000</v>
      </c>
      <c r="C362" s="17">
        <f t="shared" si="21"/>
        <v>550000</v>
      </c>
      <c r="G362" s="11">
        <v>5442.5489059114352</v>
      </c>
      <c r="H362" s="20">
        <f t="shared" si="22"/>
        <v>272127.44529557176</v>
      </c>
      <c r="I362" s="17">
        <f t="shared" si="23"/>
        <v>-119021.57658619952</v>
      </c>
    </row>
    <row r="363" spans="1:9" x14ac:dyDescent="0.35">
      <c r="A363" s="11">
        <v>15427.686391796624</v>
      </c>
      <c r="B363" s="20">
        <f t="shared" si="20"/>
        <v>300000</v>
      </c>
      <c r="C363" s="17">
        <f t="shared" si="21"/>
        <v>550000</v>
      </c>
      <c r="G363" s="11">
        <v>5648.7014374217961</v>
      </c>
      <c r="H363" s="20">
        <f t="shared" si="22"/>
        <v>282435.07187108981</v>
      </c>
      <c r="I363" s="17">
        <f t="shared" si="23"/>
        <v>-104590.89938047429</v>
      </c>
    </row>
    <row r="364" spans="1:9" x14ac:dyDescent="0.35">
      <c r="A364" s="11">
        <v>15382.21381267739</v>
      </c>
      <c r="B364" s="20">
        <f t="shared" si="20"/>
        <v>300000</v>
      </c>
      <c r="C364" s="17">
        <f t="shared" si="21"/>
        <v>550000</v>
      </c>
      <c r="G364" s="11">
        <v>4187.7803888058106</v>
      </c>
      <c r="H364" s="20">
        <f t="shared" si="22"/>
        <v>209389.01944029052</v>
      </c>
      <c r="I364" s="17">
        <f t="shared" si="23"/>
        <v>-206855.37278359325</v>
      </c>
    </row>
    <row r="365" spans="1:9" x14ac:dyDescent="0.35">
      <c r="A365" s="11">
        <v>12522.782067323831</v>
      </c>
      <c r="B365" s="20">
        <f t="shared" si="20"/>
        <v>300000</v>
      </c>
      <c r="C365" s="17">
        <f t="shared" si="21"/>
        <v>376594.74471266824</v>
      </c>
      <c r="G365" s="11">
        <v>6349.1012298959322</v>
      </c>
      <c r="H365" s="20">
        <f t="shared" si="22"/>
        <v>300000</v>
      </c>
      <c r="I365" s="17">
        <f t="shared" si="23"/>
        <v>-55562.913907284732</v>
      </c>
    </row>
    <row r="366" spans="1:9" x14ac:dyDescent="0.35">
      <c r="A366" s="11">
        <v>14929.776909695731</v>
      </c>
      <c r="B366" s="20">
        <f t="shared" si="20"/>
        <v>300000</v>
      </c>
      <c r="C366" s="17">
        <f t="shared" si="21"/>
        <v>545084.38367870112</v>
      </c>
      <c r="G366" s="11">
        <v>3274.6665852839747</v>
      </c>
      <c r="H366" s="20">
        <f t="shared" si="22"/>
        <v>163733.32926419872</v>
      </c>
      <c r="I366" s="17">
        <f t="shared" si="23"/>
        <v>-270773.3390301218</v>
      </c>
    </row>
    <row r="367" spans="1:9" x14ac:dyDescent="0.35">
      <c r="A367" s="11">
        <v>14198.400830103457</v>
      </c>
      <c r="B367" s="20">
        <f t="shared" si="20"/>
        <v>300000</v>
      </c>
      <c r="C367" s="17">
        <f t="shared" si="21"/>
        <v>493888.05810724199</v>
      </c>
      <c r="G367" s="11">
        <v>4533.5551011688585</v>
      </c>
      <c r="H367" s="20">
        <f t="shared" si="22"/>
        <v>226677.75505844294</v>
      </c>
      <c r="I367" s="17">
        <f t="shared" si="23"/>
        <v>-182651.14291817992</v>
      </c>
    </row>
    <row r="368" spans="1:9" x14ac:dyDescent="0.35">
      <c r="A368" s="11">
        <v>15496.200445570239</v>
      </c>
      <c r="B368" s="20">
        <f t="shared" si="20"/>
        <v>300000</v>
      </c>
      <c r="C368" s="17">
        <f t="shared" si="21"/>
        <v>550000</v>
      </c>
      <c r="G368" s="11">
        <v>5359.3859675893436</v>
      </c>
      <c r="H368" s="20">
        <f t="shared" si="22"/>
        <v>267969.29837946716</v>
      </c>
      <c r="I368" s="17">
        <f t="shared" si="23"/>
        <v>-124842.98226874595</v>
      </c>
    </row>
    <row r="369" spans="1:9" x14ac:dyDescent="0.35">
      <c r="A369" s="11">
        <v>16076.052125614186</v>
      </c>
      <c r="B369" s="20">
        <f t="shared" si="20"/>
        <v>300000</v>
      </c>
      <c r="C369" s="17">
        <f t="shared" si="21"/>
        <v>550000</v>
      </c>
      <c r="G369" s="11">
        <v>4443.0677205725278</v>
      </c>
      <c r="H369" s="20">
        <f t="shared" si="22"/>
        <v>222153.38602862638</v>
      </c>
      <c r="I369" s="17">
        <f t="shared" si="23"/>
        <v>-188985.25955992303</v>
      </c>
    </row>
    <row r="370" spans="1:9" x14ac:dyDescent="0.35">
      <c r="A370" s="11">
        <v>13064.027832880642</v>
      </c>
      <c r="B370" s="20">
        <f t="shared" si="20"/>
        <v>300000</v>
      </c>
      <c r="C370" s="17">
        <f t="shared" si="21"/>
        <v>414481.94830164488</v>
      </c>
      <c r="G370" s="11">
        <v>3903.1952879421369</v>
      </c>
      <c r="H370" s="20">
        <f t="shared" si="22"/>
        <v>195159.76439710683</v>
      </c>
      <c r="I370" s="17">
        <f t="shared" si="23"/>
        <v>-226776.3298440504</v>
      </c>
    </row>
    <row r="371" spans="1:9" x14ac:dyDescent="0.35">
      <c r="A371" s="11">
        <v>16979.094821008941</v>
      </c>
      <c r="B371" s="20">
        <f t="shared" si="20"/>
        <v>300000</v>
      </c>
      <c r="C371" s="17">
        <f t="shared" si="21"/>
        <v>550000</v>
      </c>
      <c r="G371" s="11">
        <v>3706.0457167271952</v>
      </c>
      <c r="H371" s="20">
        <f t="shared" si="22"/>
        <v>185302.28583635975</v>
      </c>
      <c r="I371" s="17">
        <f t="shared" si="23"/>
        <v>-240576.79982909633</v>
      </c>
    </row>
    <row r="372" spans="1:9" x14ac:dyDescent="0.35">
      <c r="A372" s="11">
        <v>14910.092471083712</v>
      </c>
      <c r="B372" s="20">
        <f t="shared" si="20"/>
        <v>300000</v>
      </c>
      <c r="C372" s="17">
        <f t="shared" si="21"/>
        <v>543706.47297585977</v>
      </c>
      <c r="G372" s="11">
        <v>7294.1068758201855</v>
      </c>
      <c r="H372" s="20">
        <f t="shared" si="22"/>
        <v>300000</v>
      </c>
      <c r="I372" s="17">
        <f t="shared" si="23"/>
        <v>10587.481307412963</v>
      </c>
    </row>
    <row r="373" spans="1:9" x14ac:dyDescent="0.35">
      <c r="A373" s="11">
        <v>16647.053437910094</v>
      </c>
      <c r="B373" s="20">
        <f t="shared" si="20"/>
        <v>300000</v>
      </c>
      <c r="C373" s="17">
        <f t="shared" si="21"/>
        <v>550000</v>
      </c>
      <c r="G373" s="11">
        <v>7402.2949919125949</v>
      </c>
      <c r="H373" s="20">
        <f t="shared" si="22"/>
        <v>300000</v>
      </c>
      <c r="I373" s="17">
        <f t="shared" si="23"/>
        <v>18160.649433881626</v>
      </c>
    </row>
    <row r="374" spans="1:9" x14ac:dyDescent="0.35">
      <c r="A374" s="11">
        <v>13672.719504379405</v>
      </c>
      <c r="B374" s="20">
        <f t="shared" si="20"/>
        <v>300000</v>
      </c>
      <c r="C374" s="17">
        <f t="shared" si="21"/>
        <v>457090.36530655832</v>
      </c>
      <c r="G374" s="11">
        <v>7378.7957396160773</v>
      </c>
      <c r="H374" s="20">
        <f t="shared" si="22"/>
        <v>300000</v>
      </c>
      <c r="I374" s="17">
        <f t="shared" si="23"/>
        <v>16515.701773125387</v>
      </c>
    </row>
    <row r="375" spans="1:9" x14ac:dyDescent="0.35">
      <c r="A375" s="11">
        <v>16909.054841761528</v>
      </c>
      <c r="B375" s="20">
        <f t="shared" si="20"/>
        <v>300000</v>
      </c>
      <c r="C375" s="17">
        <f t="shared" si="21"/>
        <v>550000</v>
      </c>
      <c r="G375" s="11">
        <v>5292.5504318369094</v>
      </c>
      <c r="H375" s="20">
        <f t="shared" si="22"/>
        <v>264627.52159184549</v>
      </c>
      <c r="I375" s="17">
        <f t="shared" si="23"/>
        <v>-129521.46977141633</v>
      </c>
    </row>
    <row r="376" spans="1:9" x14ac:dyDescent="0.35">
      <c r="A376" s="11">
        <v>13690.572832422864</v>
      </c>
      <c r="B376" s="20">
        <f t="shared" si="20"/>
        <v>300000</v>
      </c>
      <c r="C376" s="17">
        <f t="shared" si="21"/>
        <v>458340.09826960042</v>
      </c>
      <c r="G376" s="11">
        <v>4278.420361949522</v>
      </c>
      <c r="H376" s="20">
        <f t="shared" si="22"/>
        <v>213921.0180974761</v>
      </c>
      <c r="I376" s="17">
        <f t="shared" si="23"/>
        <v>-200510.57466353348</v>
      </c>
    </row>
    <row r="377" spans="1:9" x14ac:dyDescent="0.35">
      <c r="A377" s="11">
        <v>13081.270790734581</v>
      </c>
      <c r="B377" s="20">
        <f t="shared" si="20"/>
        <v>300000</v>
      </c>
      <c r="C377" s="17">
        <f t="shared" si="21"/>
        <v>415688.95535142068</v>
      </c>
      <c r="G377" s="11">
        <v>7867.2444837794119</v>
      </c>
      <c r="H377" s="20">
        <f t="shared" si="22"/>
        <v>300000</v>
      </c>
      <c r="I377" s="17">
        <f t="shared" si="23"/>
        <v>50707.113864558865</v>
      </c>
    </row>
    <row r="378" spans="1:9" x14ac:dyDescent="0.35">
      <c r="A378" s="11">
        <v>15582.87301248207</v>
      </c>
      <c r="B378" s="20">
        <f t="shared" si="20"/>
        <v>300000</v>
      </c>
      <c r="C378" s="17">
        <f t="shared" si="21"/>
        <v>550000</v>
      </c>
      <c r="G378" s="11">
        <v>6778.1914731284523</v>
      </c>
      <c r="H378" s="20">
        <f t="shared" si="22"/>
        <v>300000</v>
      </c>
      <c r="I378" s="17">
        <f t="shared" si="23"/>
        <v>-25526.596881008358</v>
      </c>
    </row>
    <row r="379" spans="1:9" x14ac:dyDescent="0.35">
      <c r="A379" s="11">
        <v>13915.189062166204</v>
      </c>
      <c r="B379" s="20">
        <f t="shared" si="20"/>
        <v>300000</v>
      </c>
      <c r="C379" s="17">
        <f t="shared" si="21"/>
        <v>474063.23435163428</v>
      </c>
      <c r="G379" s="11">
        <v>4566.8202764976959</v>
      </c>
      <c r="H379" s="20">
        <f t="shared" si="22"/>
        <v>228341.01382488478</v>
      </c>
      <c r="I379" s="17">
        <f t="shared" si="23"/>
        <v>-180322.58064516127</v>
      </c>
    </row>
    <row r="380" spans="1:9" x14ac:dyDescent="0.35">
      <c r="A380" s="11">
        <v>15330.027161473434</v>
      </c>
      <c r="B380" s="20">
        <f t="shared" si="20"/>
        <v>300000</v>
      </c>
      <c r="C380" s="17">
        <f t="shared" si="21"/>
        <v>550000</v>
      </c>
      <c r="G380" s="11">
        <v>4478.3165990173038</v>
      </c>
      <c r="H380" s="20">
        <f t="shared" si="22"/>
        <v>223915.82995086518</v>
      </c>
      <c r="I380" s="17">
        <f t="shared" si="23"/>
        <v>-186517.83806878875</v>
      </c>
    </row>
    <row r="381" spans="1:9" x14ac:dyDescent="0.35">
      <c r="A381" s="11">
        <v>12580.004272591326</v>
      </c>
      <c r="B381" s="20">
        <f t="shared" si="20"/>
        <v>300000</v>
      </c>
      <c r="C381" s="17">
        <f t="shared" si="21"/>
        <v>380600.29908139282</v>
      </c>
      <c r="G381" s="11">
        <v>6880.7336649678036</v>
      </c>
      <c r="H381" s="20">
        <f t="shared" si="22"/>
        <v>300000</v>
      </c>
      <c r="I381" s="17">
        <f t="shared" si="23"/>
        <v>-18348.643452253775</v>
      </c>
    </row>
    <row r="382" spans="1:9" x14ac:dyDescent="0.35">
      <c r="A382" s="11">
        <v>16657.124546037172</v>
      </c>
      <c r="B382" s="20">
        <f t="shared" si="20"/>
        <v>300000</v>
      </c>
      <c r="C382" s="17">
        <f t="shared" si="21"/>
        <v>550000</v>
      </c>
      <c r="G382" s="11">
        <v>4853.0838953825496</v>
      </c>
      <c r="H382" s="20">
        <f t="shared" si="22"/>
        <v>242654.19476912747</v>
      </c>
      <c r="I382" s="17">
        <f t="shared" si="23"/>
        <v>-160284.12732322153</v>
      </c>
    </row>
    <row r="383" spans="1:9" x14ac:dyDescent="0.35">
      <c r="A383" s="11">
        <v>13514.78621784112</v>
      </c>
      <c r="B383" s="20">
        <f t="shared" si="20"/>
        <v>300000</v>
      </c>
      <c r="C383" s="17">
        <f t="shared" si="21"/>
        <v>446035.03524887841</v>
      </c>
      <c r="G383" s="11">
        <v>3129.2458876308483</v>
      </c>
      <c r="H383" s="20">
        <f t="shared" si="22"/>
        <v>156462.29438154242</v>
      </c>
      <c r="I383" s="17">
        <f t="shared" si="23"/>
        <v>-280952.7878658406</v>
      </c>
    </row>
    <row r="384" spans="1:9" x14ac:dyDescent="0.35">
      <c r="A384" s="11">
        <v>13466.109195226905</v>
      </c>
      <c r="B384" s="20">
        <f t="shared" si="20"/>
        <v>300000</v>
      </c>
      <c r="C384" s="17">
        <f t="shared" si="21"/>
        <v>442627.64366588334</v>
      </c>
      <c r="G384" s="11">
        <v>6024.8420667134615</v>
      </c>
      <c r="H384" s="20">
        <f t="shared" si="22"/>
        <v>300000</v>
      </c>
      <c r="I384" s="17">
        <f t="shared" si="23"/>
        <v>-78261.055330057687</v>
      </c>
    </row>
    <row r="385" spans="1:9" x14ac:dyDescent="0.35">
      <c r="A385" s="11">
        <v>16166.692098757896</v>
      </c>
      <c r="B385" s="20">
        <f t="shared" si="20"/>
        <v>300000</v>
      </c>
      <c r="C385" s="17">
        <f t="shared" si="21"/>
        <v>550000</v>
      </c>
      <c r="G385" s="11">
        <v>3752.739036225471</v>
      </c>
      <c r="H385" s="20">
        <f t="shared" si="22"/>
        <v>187636.95181127355</v>
      </c>
      <c r="I385" s="17">
        <f t="shared" si="23"/>
        <v>-237308.26746421703</v>
      </c>
    </row>
    <row r="386" spans="1:9" x14ac:dyDescent="0.35">
      <c r="A386" s="11">
        <v>15516.953032013917</v>
      </c>
      <c r="B386" s="20">
        <f t="shared" si="20"/>
        <v>300000</v>
      </c>
      <c r="C386" s="17">
        <f t="shared" si="21"/>
        <v>550000</v>
      </c>
      <c r="G386" s="11">
        <v>5063.8142033143104</v>
      </c>
      <c r="H386" s="20">
        <f t="shared" si="22"/>
        <v>253190.71016571551</v>
      </c>
      <c r="I386" s="17">
        <f t="shared" si="23"/>
        <v>-145533.00576799829</v>
      </c>
    </row>
    <row r="387" spans="1:9" x14ac:dyDescent="0.35">
      <c r="A387" s="11">
        <v>12266.273995178075</v>
      </c>
      <c r="B387" s="20">
        <f t="shared" si="20"/>
        <v>300000</v>
      </c>
      <c r="C387" s="17">
        <f t="shared" si="21"/>
        <v>358639.17966246523</v>
      </c>
      <c r="G387" s="11">
        <v>3931.7300943021942</v>
      </c>
      <c r="H387" s="20">
        <f t="shared" si="22"/>
        <v>196586.50471510971</v>
      </c>
      <c r="I387" s="17">
        <f t="shared" si="23"/>
        <v>-224778.89339884638</v>
      </c>
    </row>
    <row r="388" spans="1:9" x14ac:dyDescent="0.35">
      <c r="A388" s="11">
        <v>13649.678029725028</v>
      </c>
      <c r="B388" s="20">
        <f t="shared" si="20"/>
        <v>300000</v>
      </c>
      <c r="C388" s="17">
        <f t="shared" si="21"/>
        <v>455477.46208075201</v>
      </c>
      <c r="G388" s="11">
        <v>7565.1112399670401</v>
      </c>
      <c r="H388" s="20">
        <f t="shared" si="22"/>
        <v>300000</v>
      </c>
      <c r="I388" s="17">
        <f t="shared" si="23"/>
        <v>29557.786797692766</v>
      </c>
    </row>
    <row r="389" spans="1:9" x14ac:dyDescent="0.35">
      <c r="A389" s="11">
        <v>14006.897183141575</v>
      </c>
      <c r="B389" s="20">
        <f t="shared" si="20"/>
        <v>300000</v>
      </c>
      <c r="C389" s="17">
        <f t="shared" si="21"/>
        <v>480482.80281991023</v>
      </c>
      <c r="G389" s="11">
        <v>7534.7453230384226</v>
      </c>
      <c r="H389" s="20">
        <f t="shared" si="22"/>
        <v>300000</v>
      </c>
      <c r="I389" s="17">
        <f t="shared" si="23"/>
        <v>27432.172612689552</v>
      </c>
    </row>
    <row r="390" spans="1:9" x14ac:dyDescent="0.35">
      <c r="A390" s="11">
        <v>13707.663197729424</v>
      </c>
      <c r="B390" s="20">
        <f t="shared" si="20"/>
        <v>300000</v>
      </c>
      <c r="C390" s="17">
        <f t="shared" si="21"/>
        <v>459536.42384105967</v>
      </c>
      <c r="G390" s="11">
        <v>7778.7408062990207</v>
      </c>
      <c r="H390" s="20">
        <f t="shared" si="22"/>
        <v>300000</v>
      </c>
      <c r="I390" s="17">
        <f t="shared" si="23"/>
        <v>44511.856440931442</v>
      </c>
    </row>
    <row r="391" spans="1:9" x14ac:dyDescent="0.35">
      <c r="A391" s="11">
        <v>16904.324472792749</v>
      </c>
      <c r="B391" s="20">
        <f t="shared" si="20"/>
        <v>300000</v>
      </c>
      <c r="C391" s="17">
        <f t="shared" si="21"/>
        <v>550000</v>
      </c>
      <c r="G391" s="11">
        <v>5804.1932432020021</v>
      </c>
      <c r="H391" s="20">
        <f t="shared" si="22"/>
        <v>290209.66216010012</v>
      </c>
      <c r="I391" s="17">
        <f t="shared" si="23"/>
        <v>-93706.472975859826</v>
      </c>
    </row>
    <row r="392" spans="1:9" x14ac:dyDescent="0.35">
      <c r="A392" s="11">
        <v>14068.086794640949</v>
      </c>
      <c r="B392" s="20">
        <f t="shared" si="20"/>
        <v>300000</v>
      </c>
      <c r="C392" s="17">
        <f t="shared" si="21"/>
        <v>484766.07562486641</v>
      </c>
      <c r="G392" s="11">
        <v>5305.825983458968</v>
      </c>
      <c r="H392" s="20">
        <f t="shared" si="22"/>
        <v>265291.29917294841</v>
      </c>
      <c r="I392" s="17">
        <f t="shared" si="23"/>
        <v>-128592.18115787226</v>
      </c>
    </row>
    <row r="393" spans="1:9" x14ac:dyDescent="0.35">
      <c r="A393" s="11">
        <v>13865.291299172948</v>
      </c>
      <c r="B393" s="20">
        <f t="shared" si="20"/>
        <v>300000</v>
      </c>
      <c r="C393" s="17">
        <f t="shared" si="21"/>
        <v>470570.39094210637</v>
      </c>
      <c r="G393" s="11">
        <v>4011.9937742240668</v>
      </c>
      <c r="H393" s="20">
        <f t="shared" si="22"/>
        <v>200599.68871120334</v>
      </c>
      <c r="I393" s="17">
        <f t="shared" si="23"/>
        <v>-219160.43580431532</v>
      </c>
    </row>
    <row r="394" spans="1:9" x14ac:dyDescent="0.35">
      <c r="A394" s="11">
        <v>13456.648457289346</v>
      </c>
      <c r="B394" s="20">
        <f t="shared" si="20"/>
        <v>300000</v>
      </c>
      <c r="C394" s="17">
        <f t="shared" si="21"/>
        <v>441965.3920102542</v>
      </c>
      <c r="G394" s="11">
        <v>4919.309060945463</v>
      </c>
      <c r="H394" s="20">
        <f t="shared" si="22"/>
        <v>245965.45304727316</v>
      </c>
      <c r="I394" s="17">
        <f t="shared" si="23"/>
        <v>-155648.36573381757</v>
      </c>
    </row>
    <row r="395" spans="1:9" x14ac:dyDescent="0.35">
      <c r="A395" s="11">
        <v>16685.964537491989</v>
      </c>
      <c r="B395" s="20">
        <f t="shared" si="20"/>
        <v>300000</v>
      </c>
      <c r="C395" s="17">
        <f t="shared" si="21"/>
        <v>550000</v>
      </c>
      <c r="G395" s="11">
        <v>7640.7971434675137</v>
      </c>
      <c r="H395" s="20">
        <f t="shared" si="22"/>
        <v>300000</v>
      </c>
      <c r="I395" s="17">
        <f t="shared" si="23"/>
        <v>34855.800042725983</v>
      </c>
    </row>
    <row r="396" spans="1:9" x14ac:dyDescent="0.35">
      <c r="A396" s="11">
        <v>16630.420850245675</v>
      </c>
      <c r="B396" s="20">
        <f t="shared" si="20"/>
        <v>300000</v>
      </c>
      <c r="C396" s="17">
        <f t="shared" si="21"/>
        <v>550000</v>
      </c>
      <c r="G396" s="11">
        <v>6083.7427900021357</v>
      </c>
      <c r="H396" s="20">
        <f t="shared" si="22"/>
        <v>300000</v>
      </c>
      <c r="I396" s="17">
        <f t="shared" si="23"/>
        <v>-74138.004699850513</v>
      </c>
    </row>
    <row r="397" spans="1:9" x14ac:dyDescent="0.35">
      <c r="A397" s="11">
        <v>13475.112155522324</v>
      </c>
      <c r="B397" s="20">
        <f t="shared" si="20"/>
        <v>300000</v>
      </c>
      <c r="C397" s="17">
        <f t="shared" si="21"/>
        <v>443257.85088656261</v>
      </c>
      <c r="G397" s="11">
        <v>4622.2113711966304</v>
      </c>
      <c r="H397" s="20">
        <f t="shared" si="22"/>
        <v>231110.56855983153</v>
      </c>
      <c r="I397" s="17">
        <f t="shared" si="23"/>
        <v>-176445.20401623589</v>
      </c>
    </row>
    <row r="398" spans="1:9" x14ac:dyDescent="0.35">
      <c r="A398" s="11">
        <v>13685.842463454084</v>
      </c>
      <c r="B398" s="20">
        <f t="shared" si="20"/>
        <v>300000</v>
      </c>
      <c r="C398" s="17">
        <f t="shared" si="21"/>
        <v>458008.97244178585</v>
      </c>
      <c r="G398" s="11">
        <v>3837.885677663503</v>
      </c>
      <c r="H398" s="20">
        <f t="shared" si="22"/>
        <v>191894.28388317514</v>
      </c>
      <c r="I398" s="17">
        <f t="shared" si="23"/>
        <v>-231348.00256355479</v>
      </c>
    </row>
    <row r="399" spans="1:9" x14ac:dyDescent="0.35">
      <c r="A399" s="11">
        <v>15982.055116428113</v>
      </c>
      <c r="B399" s="20">
        <f t="shared" si="20"/>
        <v>300000</v>
      </c>
      <c r="C399" s="17">
        <f t="shared" si="21"/>
        <v>550000</v>
      </c>
      <c r="G399" s="11">
        <v>4898.7090670491652</v>
      </c>
      <c r="H399" s="20">
        <f t="shared" si="22"/>
        <v>244935.45335245825</v>
      </c>
      <c r="I399" s="17">
        <f t="shared" si="23"/>
        <v>-157090.36530655844</v>
      </c>
    </row>
    <row r="400" spans="1:9" x14ac:dyDescent="0.35">
      <c r="A400" s="11">
        <v>12318.155461287271</v>
      </c>
      <c r="B400" s="20">
        <f t="shared" si="20"/>
        <v>300000</v>
      </c>
      <c r="C400" s="17">
        <f t="shared" si="21"/>
        <v>362270.88229010906</v>
      </c>
      <c r="G400" s="11">
        <v>3490.2798547318948</v>
      </c>
      <c r="H400" s="20">
        <f t="shared" si="22"/>
        <v>174513.99273659475</v>
      </c>
      <c r="I400" s="17">
        <f t="shared" si="23"/>
        <v>-255680.41016876735</v>
      </c>
    </row>
    <row r="401" spans="1:9" x14ac:dyDescent="0.35">
      <c r="A401" s="11">
        <v>15107.394634846034</v>
      </c>
      <c r="B401" s="20">
        <f t="shared" si="20"/>
        <v>300000</v>
      </c>
      <c r="C401" s="17">
        <f t="shared" si="21"/>
        <v>550000</v>
      </c>
      <c r="G401" s="11">
        <v>6199.7131260109254</v>
      </c>
      <c r="H401" s="20">
        <f t="shared" si="22"/>
        <v>300000</v>
      </c>
      <c r="I401" s="17">
        <f t="shared" si="23"/>
        <v>-66020.081179235247</v>
      </c>
    </row>
    <row r="402" spans="1:9" x14ac:dyDescent="0.35">
      <c r="A402" s="11">
        <v>14429.731131931516</v>
      </c>
      <c r="B402" s="20">
        <f t="shared" si="20"/>
        <v>300000</v>
      </c>
      <c r="C402" s="17">
        <f t="shared" si="21"/>
        <v>510081.1792352061</v>
      </c>
      <c r="G402" s="11">
        <v>3700.0946073793757</v>
      </c>
      <c r="H402" s="20">
        <f t="shared" si="22"/>
        <v>185004.7303689688</v>
      </c>
      <c r="I402" s="17">
        <f t="shared" si="23"/>
        <v>-240993.37748344371</v>
      </c>
    </row>
    <row r="403" spans="1:9" x14ac:dyDescent="0.35">
      <c r="A403" s="11">
        <v>16642.933439130833</v>
      </c>
      <c r="B403" s="20">
        <f t="shared" si="20"/>
        <v>300000</v>
      </c>
      <c r="C403" s="17">
        <f t="shared" si="21"/>
        <v>550000</v>
      </c>
      <c r="G403" s="11">
        <v>3568.7124240852077</v>
      </c>
      <c r="H403" s="20">
        <f t="shared" si="22"/>
        <v>178435.62120426039</v>
      </c>
      <c r="I403" s="17">
        <f t="shared" si="23"/>
        <v>-250190.13031403546</v>
      </c>
    </row>
    <row r="404" spans="1:9" x14ac:dyDescent="0.35">
      <c r="A404" s="11">
        <v>12213.32438123722</v>
      </c>
      <c r="B404" s="20">
        <f t="shared" si="20"/>
        <v>300000</v>
      </c>
      <c r="C404" s="17">
        <f t="shared" si="21"/>
        <v>354932.70668660547</v>
      </c>
      <c r="G404" s="11">
        <v>6586.6878261665697</v>
      </c>
      <c r="H404" s="20">
        <f t="shared" si="22"/>
        <v>300000</v>
      </c>
      <c r="I404" s="17">
        <f t="shared" si="23"/>
        <v>-38931.85216834012</v>
      </c>
    </row>
    <row r="405" spans="1:9" x14ac:dyDescent="0.35">
      <c r="A405" s="11">
        <v>13117.587817011017</v>
      </c>
      <c r="B405" s="20">
        <f t="shared" si="20"/>
        <v>300000</v>
      </c>
      <c r="C405" s="17">
        <f t="shared" si="21"/>
        <v>418231.14719077118</v>
      </c>
      <c r="G405" s="11">
        <v>7960.3259376812039</v>
      </c>
      <c r="H405" s="20">
        <f t="shared" si="22"/>
        <v>300000</v>
      </c>
      <c r="I405" s="17">
        <f t="shared" si="23"/>
        <v>57222.815637684311</v>
      </c>
    </row>
    <row r="406" spans="1:9" x14ac:dyDescent="0.35">
      <c r="A406" s="11">
        <v>12321.05471968749</v>
      </c>
      <c r="B406" s="20">
        <f t="shared" si="20"/>
        <v>300000</v>
      </c>
      <c r="C406" s="17">
        <f t="shared" si="21"/>
        <v>362473.83037812437</v>
      </c>
      <c r="G406" s="11">
        <v>5162.236396374401</v>
      </c>
      <c r="H406" s="20">
        <f t="shared" si="22"/>
        <v>258111.81981872005</v>
      </c>
      <c r="I406" s="17">
        <f t="shared" si="23"/>
        <v>-138643.45225379191</v>
      </c>
    </row>
    <row r="407" spans="1:9" x14ac:dyDescent="0.35">
      <c r="A407" s="11">
        <v>12172.276985992004</v>
      </c>
      <c r="B407" s="20">
        <f t="shared" si="20"/>
        <v>300000</v>
      </c>
      <c r="C407" s="17">
        <f t="shared" si="21"/>
        <v>352059.38901944028</v>
      </c>
      <c r="G407" s="11">
        <v>4272.7744376964629</v>
      </c>
      <c r="H407" s="20">
        <f t="shared" si="22"/>
        <v>213638.72188482314</v>
      </c>
      <c r="I407" s="17">
        <f t="shared" si="23"/>
        <v>-200905.78936124762</v>
      </c>
    </row>
    <row r="408" spans="1:9" x14ac:dyDescent="0.35">
      <c r="A408" s="11">
        <v>13102.633747367778</v>
      </c>
      <c r="B408" s="20">
        <f t="shared" si="20"/>
        <v>300000</v>
      </c>
      <c r="C408" s="17">
        <f t="shared" si="21"/>
        <v>417184.36231574439</v>
      </c>
      <c r="G408" s="11">
        <v>3236.2132633442184</v>
      </c>
      <c r="H408" s="20">
        <f t="shared" si="22"/>
        <v>161810.66316721091</v>
      </c>
      <c r="I408" s="17">
        <f t="shared" si="23"/>
        <v>-273465.07156590471</v>
      </c>
    </row>
    <row r="409" spans="1:9" x14ac:dyDescent="0.35">
      <c r="A409" s="11">
        <v>12753.349406414991</v>
      </c>
      <c r="B409" s="20">
        <f t="shared" si="20"/>
        <v>300000</v>
      </c>
      <c r="C409" s="17">
        <f t="shared" si="21"/>
        <v>392734.45844904939</v>
      </c>
      <c r="G409" s="11">
        <v>4626.1787774285103</v>
      </c>
      <c r="H409" s="20">
        <f t="shared" si="22"/>
        <v>231308.93887142552</v>
      </c>
      <c r="I409" s="17">
        <f t="shared" si="23"/>
        <v>-176167.48558000429</v>
      </c>
    </row>
    <row r="410" spans="1:9" x14ac:dyDescent="0.35">
      <c r="A410" s="11">
        <v>12294.351023895993</v>
      </c>
      <c r="B410" s="20">
        <f t="shared" si="20"/>
        <v>300000</v>
      </c>
      <c r="C410" s="17">
        <f t="shared" si="21"/>
        <v>360604.57167271955</v>
      </c>
      <c r="G410" s="11">
        <v>6618.884853663747</v>
      </c>
      <c r="H410" s="20">
        <f t="shared" si="22"/>
        <v>300000</v>
      </c>
      <c r="I410" s="17">
        <f t="shared" si="23"/>
        <v>-36678.060243537708</v>
      </c>
    </row>
    <row r="411" spans="1:9" x14ac:dyDescent="0.35">
      <c r="A411" s="11">
        <v>13237.525559251686</v>
      </c>
      <c r="B411" s="20">
        <f t="shared" si="20"/>
        <v>300000</v>
      </c>
      <c r="C411" s="17">
        <f t="shared" si="21"/>
        <v>426626.78914761799</v>
      </c>
      <c r="G411" s="11">
        <v>6644.0626239814446</v>
      </c>
      <c r="H411" s="20">
        <f t="shared" si="22"/>
        <v>300000</v>
      </c>
      <c r="I411" s="17">
        <f t="shared" si="23"/>
        <v>-34915.616321298876</v>
      </c>
    </row>
    <row r="412" spans="1:9" x14ac:dyDescent="0.35">
      <c r="A412" s="11">
        <v>14070.680867946408</v>
      </c>
      <c r="B412" s="20">
        <f t="shared" si="20"/>
        <v>300000</v>
      </c>
      <c r="C412" s="17">
        <f t="shared" si="21"/>
        <v>484947.66075624863</v>
      </c>
      <c r="G412" s="11">
        <v>7589.0682699056979</v>
      </c>
      <c r="H412" s="20">
        <f t="shared" si="22"/>
        <v>300000</v>
      </c>
      <c r="I412" s="17">
        <f t="shared" si="23"/>
        <v>31234.778893398819</v>
      </c>
    </row>
    <row r="413" spans="1:9" x14ac:dyDescent="0.35">
      <c r="A413" s="11">
        <v>16000.976592303232</v>
      </c>
      <c r="B413" s="20">
        <f t="shared" si="20"/>
        <v>300000</v>
      </c>
      <c r="C413" s="17">
        <f t="shared" si="21"/>
        <v>550000</v>
      </c>
      <c r="G413" s="11">
        <v>7100.3143406476029</v>
      </c>
      <c r="H413" s="20">
        <f t="shared" si="22"/>
        <v>300000</v>
      </c>
      <c r="I413" s="17">
        <f t="shared" si="23"/>
        <v>-2977.9961546678096</v>
      </c>
    </row>
    <row r="414" spans="1:9" x14ac:dyDescent="0.35">
      <c r="A414" s="11">
        <v>13168.248542741172</v>
      </c>
      <c r="B414" s="20">
        <f t="shared" si="20"/>
        <v>300000</v>
      </c>
      <c r="C414" s="17">
        <f t="shared" si="21"/>
        <v>421777.39799188206</v>
      </c>
      <c r="G414" s="11">
        <v>7804.6815393536181</v>
      </c>
      <c r="H414" s="20">
        <f t="shared" si="22"/>
        <v>300000</v>
      </c>
      <c r="I414" s="17">
        <f t="shared" si="23"/>
        <v>46327.707754753297</v>
      </c>
    </row>
    <row r="415" spans="1:9" x14ac:dyDescent="0.35">
      <c r="A415" s="11">
        <v>16549.394207586902</v>
      </c>
      <c r="B415" s="20">
        <f t="shared" si="20"/>
        <v>300000</v>
      </c>
      <c r="C415" s="17">
        <f t="shared" si="21"/>
        <v>550000</v>
      </c>
      <c r="G415" s="11">
        <v>6647.1144749290452</v>
      </c>
      <c r="H415" s="20">
        <f t="shared" si="22"/>
        <v>300000</v>
      </c>
      <c r="I415" s="17">
        <f t="shared" si="23"/>
        <v>-34701.986754966842</v>
      </c>
    </row>
    <row r="416" spans="1:9" x14ac:dyDescent="0.35">
      <c r="A416" s="11">
        <v>12985.29007843257</v>
      </c>
      <c r="B416" s="20">
        <f t="shared" si="20"/>
        <v>300000</v>
      </c>
      <c r="C416" s="17">
        <f t="shared" si="21"/>
        <v>408970.30549027992</v>
      </c>
      <c r="G416" s="11">
        <v>3745.5671864986116</v>
      </c>
      <c r="H416" s="20">
        <f t="shared" si="22"/>
        <v>187278.35932493058</v>
      </c>
      <c r="I416" s="17">
        <f t="shared" si="23"/>
        <v>-237810.29694509722</v>
      </c>
    </row>
    <row r="417" spans="1:9" x14ac:dyDescent="0.35">
      <c r="A417" s="11">
        <v>12756.09607226783</v>
      </c>
      <c r="B417" s="20">
        <f t="shared" si="20"/>
        <v>300000</v>
      </c>
      <c r="C417" s="17">
        <f t="shared" si="21"/>
        <v>392926.72505874815</v>
      </c>
      <c r="G417" s="11">
        <v>4596.4232306894128</v>
      </c>
      <c r="H417" s="20">
        <f t="shared" si="22"/>
        <v>229821.16153447065</v>
      </c>
      <c r="I417" s="17">
        <f t="shared" si="23"/>
        <v>-178250.37385174108</v>
      </c>
    </row>
    <row r="418" spans="1:9" x14ac:dyDescent="0.35">
      <c r="A418" s="11">
        <v>12259.865108188116</v>
      </c>
      <c r="B418" s="20">
        <f t="shared" ref="B418:B481" si="24">50*MIN(6000,A418)</f>
        <v>300000</v>
      </c>
      <c r="C418" s="17">
        <f t="shared" ref="C418:C481" si="25">70*MIN(15000,A418)-500000</f>
        <v>358190.55757316819</v>
      </c>
      <c r="G418" s="11">
        <v>4030.304879909665</v>
      </c>
      <c r="H418" s="20">
        <f t="shared" ref="H418:H481" si="26">50*MIN(6000,G418)</f>
        <v>201515.24399548327</v>
      </c>
      <c r="I418" s="17">
        <f t="shared" ref="I418:I481" si="27">70*MIN(15000,G418)-500000</f>
        <v>-217878.65840632346</v>
      </c>
    </row>
    <row r="419" spans="1:9" x14ac:dyDescent="0.35">
      <c r="A419" s="11">
        <v>16642.933439130833</v>
      </c>
      <c r="B419" s="20">
        <f t="shared" si="24"/>
        <v>300000</v>
      </c>
      <c r="C419" s="17">
        <f t="shared" si="25"/>
        <v>550000</v>
      </c>
      <c r="G419" s="11">
        <v>6993.499557481613</v>
      </c>
      <c r="H419" s="20">
        <f t="shared" si="26"/>
        <v>300000</v>
      </c>
      <c r="I419" s="17">
        <f t="shared" si="27"/>
        <v>-10455.030976287089</v>
      </c>
    </row>
    <row r="420" spans="1:9" x14ac:dyDescent="0.35">
      <c r="A420" s="11">
        <v>14280.64821314127</v>
      </c>
      <c r="B420" s="20">
        <f t="shared" si="24"/>
        <v>300000</v>
      </c>
      <c r="C420" s="17">
        <f t="shared" si="25"/>
        <v>499645.37491988891</v>
      </c>
      <c r="G420" s="11">
        <v>5136.143070772423</v>
      </c>
      <c r="H420" s="20">
        <f t="shared" si="26"/>
        <v>256807.15353862115</v>
      </c>
      <c r="I420" s="17">
        <f t="shared" si="27"/>
        <v>-140469.98504593037</v>
      </c>
    </row>
    <row r="421" spans="1:9" x14ac:dyDescent="0.35">
      <c r="A421" s="11">
        <v>13097.293008209479</v>
      </c>
      <c r="B421" s="20">
        <f t="shared" si="24"/>
        <v>300000</v>
      </c>
      <c r="C421" s="17">
        <f t="shared" si="25"/>
        <v>416810.51057466352</v>
      </c>
      <c r="G421" s="11">
        <v>4629.0780358287302</v>
      </c>
      <c r="H421" s="20">
        <f t="shared" si="26"/>
        <v>231453.90179143651</v>
      </c>
      <c r="I421" s="17">
        <f t="shared" si="27"/>
        <v>-175964.53749198886</v>
      </c>
    </row>
    <row r="422" spans="1:9" x14ac:dyDescent="0.35">
      <c r="A422" s="11">
        <v>16689.77935117649</v>
      </c>
      <c r="B422" s="20">
        <f t="shared" si="24"/>
        <v>300000</v>
      </c>
      <c r="C422" s="17">
        <f t="shared" si="25"/>
        <v>550000</v>
      </c>
      <c r="G422" s="11">
        <v>6836.6344187749874</v>
      </c>
      <c r="H422" s="20">
        <f t="shared" si="26"/>
        <v>300000</v>
      </c>
      <c r="I422" s="17">
        <f t="shared" si="27"/>
        <v>-21435.590685750882</v>
      </c>
    </row>
    <row r="423" spans="1:9" x14ac:dyDescent="0.35">
      <c r="A423" s="11">
        <v>12589.465010528886</v>
      </c>
      <c r="B423" s="20">
        <f t="shared" si="24"/>
        <v>300000</v>
      </c>
      <c r="C423" s="17">
        <f t="shared" si="25"/>
        <v>381262.55073702196</v>
      </c>
      <c r="G423" s="11">
        <v>3309.4576860866114</v>
      </c>
      <c r="H423" s="20">
        <f t="shared" si="26"/>
        <v>165472.88430433057</v>
      </c>
      <c r="I423" s="17">
        <f t="shared" si="27"/>
        <v>-268337.96197393723</v>
      </c>
    </row>
    <row r="424" spans="1:9" x14ac:dyDescent="0.35">
      <c r="A424" s="11">
        <v>16946.592608417006</v>
      </c>
      <c r="B424" s="20">
        <f t="shared" si="24"/>
        <v>300000</v>
      </c>
      <c r="C424" s="17">
        <f t="shared" si="25"/>
        <v>550000</v>
      </c>
      <c r="G424" s="11">
        <v>6642.3841059602646</v>
      </c>
      <c r="H424" s="20">
        <f t="shared" si="26"/>
        <v>300000</v>
      </c>
      <c r="I424" s="17">
        <f t="shared" si="27"/>
        <v>-35033.112582781469</v>
      </c>
    </row>
    <row r="425" spans="1:9" x14ac:dyDescent="0.35">
      <c r="A425" s="11">
        <v>13944.334238715781</v>
      </c>
      <c r="B425" s="20">
        <f t="shared" si="24"/>
        <v>300000</v>
      </c>
      <c r="C425" s="17">
        <f t="shared" si="25"/>
        <v>476103.39671010466</v>
      </c>
      <c r="G425" s="11">
        <v>4772.820215460677</v>
      </c>
      <c r="H425" s="20">
        <f t="shared" si="26"/>
        <v>238641.01077303383</v>
      </c>
      <c r="I425" s="17">
        <f t="shared" si="27"/>
        <v>-165902.5849177526</v>
      </c>
    </row>
    <row r="426" spans="1:9" x14ac:dyDescent="0.35">
      <c r="A426" s="11">
        <v>16530.930509353922</v>
      </c>
      <c r="B426" s="20">
        <f t="shared" si="24"/>
        <v>300000</v>
      </c>
      <c r="C426" s="17">
        <f t="shared" si="25"/>
        <v>550000</v>
      </c>
      <c r="G426" s="11">
        <v>4341.8988616595962</v>
      </c>
      <c r="H426" s="20">
        <f t="shared" si="26"/>
        <v>217094.94308297982</v>
      </c>
      <c r="I426" s="17">
        <f t="shared" si="27"/>
        <v>-196067.07968382828</v>
      </c>
    </row>
    <row r="427" spans="1:9" x14ac:dyDescent="0.35">
      <c r="A427" s="11">
        <v>14171.391949217199</v>
      </c>
      <c r="B427" s="20">
        <f t="shared" si="24"/>
        <v>300000</v>
      </c>
      <c r="C427" s="17">
        <f t="shared" si="25"/>
        <v>491997.43644520396</v>
      </c>
      <c r="G427" s="11">
        <v>6211.9205298013239</v>
      </c>
      <c r="H427" s="20">
        <f t="shared" si="26"/>
        <v>300000</v>
      </c>
      <c r="I427" s="17">
        <f t="shared" si="27"/>
        <v>-65165.562913907343</v>
      </c>
    </row>
    <row r="428" spans="1:9" x14ac:dyDescent="0.35">
      <c r="A428" s="11">
        <v>14128.513443403424</v>
      </c>
      <c r="B428" s="20">
        <f t="shared" si="24"/>
        <v>300000</v>
      </c>
      <c r="C428" s="17">
        <f t="shared" si="25"/>
        <v>488995.94103823975</v>
      </c>
      <c r="G428" s="11">
        <v>3994.7508163701286</v>
      </c>
      <c r="H428" s="20">
        <f t="shared" si="26"/>
        <v>199737.54081850644</v>
      </c>
      <c r="I428" s="17">
        <f t="shared" si="27"/>
        <v>-220367.442854091</v>
      </c>
    </row>
    <row r="429" spans="1:9" x14ac:dyDescent="0.35">
      <c r="A429" s="11">
        <v>15882.412182988983</v>
      </c>
      <c r="B429" s="20">
        <f t="shared" si="24"/>
        <v>300000</v>
      </c>
      <c r="C429" s="17">
        <f t="shared" si="25"/>
        <v>550000</v>
      </c>
      <c r="G429" s="11">
        <v>7594.2564165166168</v>
      </c>
      <c r="H429" s="20">
        <f t="shared" si="26"/>
        <v>300000</v>
      </c>
      <c r="I429" s="17">
        <f t="shared" si="27"/>
        <v>31597.949156163144</v>
      </c>
    </row>
    <row r="430" spans="1:9" x14ac:dyDescent="0.35">
      <c r="A430" s="11">
        <v>12461.745048371837</v>
      </c>
      <c r="B430" s="20">
        <f t="shared" si="24"/>
        <v>300000</v>
      </c>
      <c r="C430" s="17">
        <f t="shared" si="25"/>
        <v>372322.1533860286</v>
      </c>
      <c r="G430" s="11">
        <v>7072.2373119296844</v>
      </c>
      <c r="H430" s="20">
        <f t="shared" si="26"/>
        <v>300000</v>
      </c>
      <c r="I430" s="17">
        <f t="shared" si="27"/>
        <v>-4943.3881649220712</v>
      </c>
    </row>
    <row r="431" spans="1:9" x14ac:dyDescent="0.35">
      <c r="A431" s="11">
        <v>14551.347392193366</v>
      </c>
      <c r="B431" s="20">
        <f t="shared" si="24"/>
        <v>300000</v>
      </c>
      <c r="C431" s="17">
        <f t="shared" si="25"/>
        <v>518594.31745353562</v>
      </c>
      <c r="G431" s="11">
        <v>6947.8743858149974</v>
      </c>
      <c r="H431" s="20">
        <f t="shared" si="26"/>
        <v>300000</v>
      </c>
      <c r="I431" s="17">
        <f t="shared" si="27"/>
        <v>-13648.792992950184</v>
      </c>
    </row>
    <row r="432" spans="1:9" x14ac:dyDescent="0.35">
      <c r="A432" s="11">
        <v>13245.765556810205</v>
      </c>
      <c r="B432" s="20">
        <f t="shared" si="24"/>
        <v>300000</v>
      </c>
      <c r="C432" s="17">
        <f t="shared" si="25"/>
        <v>427203.58897671441</v>
      </c>
      <c r="G432" s="11">
        <v>7477.3705252235477</v>
      </c>
      <c r="H432" s="20">
        <f t="shared" si="26"/>
        <v>300000</v>
      </c>
      <c r="I432" s="17">
        <f t="shared" si="27"/>
        <v>23415.936765648366</v>
      </c>
    </row>
    <row r="433" spans="1:9" x14ac:dyDescent="0.35">
      <c r="A433" s="11">
        <v>13433.759575182348</v>
      </c>
      <c r="B433" s="20">
        <f t="shared" si="24"/>
        <v>300000</v>
      </c>
      <c r="C433" s="17">
        <f t="shared" si="25"/>
        <v>440363.17026276432</v>
      </c>
      <c r="G433" s="11">
        <v>7663.8386181218912</v>
      </c>
      <c r="H433" s="20">
        <f t="shared" si="26"/>
        <v>300000</v>
      </c>
      <c r="I433" s="17">
        <f t="shared" si="27"/>
        <v>36468.703268532408</v>
      </c>
    </row>
    <row r="434" spans="1:9" x14ac:dyDescent="0.35">
      <c r="A434" s="11">
        <v>13076.23523667104</v>
      </c>
      <c r="B434" s="20">
        <f t="shared" si="24"/>
        <v>300000</v>
      </c>
      <c r="C434" s="17">
        <f t="shared" si="25"/>
        <v>415336.46656697278</v>
      </c>
      <c r="G434" s="11">
        <v>7548.3260597552417</v>
      </c>
      <c r="H434" s="20">
        <f t="shared" si="26"/>
        <v>300000</v>
      </c>
      <c r="I434" s="17">
        <f t="shared" si="27"/>
        <v>28382.824182866956</v>
      </c>
    </row>
    <row r="435" spans="1:9" x14ac:dyDescent="0.35">
      <c r="A435" s="11">
        <v>13966.154972991118</v>
      </c>
      <c r="B435" s="20">
        <f t="shared" si="24"/>
        <v>300000</v>
      </c>
      <c r="C435" s="17">
        <f t="shared" si="25"/>
        <v>477630.84810937825</v>
      </c>
      <c r="G435" s="11">
        <v>6756.3707388531147</v>
      </c>
      <c r="H435" s="20">
        <f t="shared" si="26"/>
        <v>300000</v>
      </c>
      <c r="I435" s="17">
        <f t="shared" si="27"/>
        <v>-27054.048280281946</v>
      </c>
    </row>
    <row r="436" spans="1:9" x14ac:dyDescent="0.35">
      <c r="A436" s="11">
        <v>13032.593768120365</v>
      </c>
      <c r="B436" s="20">
        <f t="shared" si="24"/>
        <v>300000</v>
      </c>
      <c r="C436" s="17">
        <f t="shared" si="25"/>
        <v>412281.56376842549</v>
      </c>
      <c r="G436" s="11">
        <v>4469.1610461745049</v>
      </c>
      <c r="H436" s="20">
        <f t="shared" si="26"/>
        <v>223458.05230872525</v>
      </c>
      <c r="I436" s="17">
        <f t="shared" si="27"/>
        <v>-187158.72676778468</v>
      </c>
    </row>
    <row r="437" spans="1:9" x14ac:dyDescent="0.35">
      <c r="A437" s="11">
        <v>14558.061464278086</v>
      </c>
      <c r="B437" s="20">
        <f t="shared" si="24"/>
        <v>300000</v>
      </c>
      <c r="C437" s="17">
        <f t="shared" si="25"/>
        <v>519064.30249946599</v>
      </c>
      <c r="G437" s="11">
        <v>7055.2995391705072</v>
      </c>
      <c r="H437" s="20">
        <f t="shared" si="26"/>
        <v>300000</v>
      </c>
      <c r="I437" s="17">
        <f t="shared" si="27"/>
        <v>-6129.0322580644861</v>
      </c>
    </row>
    <row r="438" spans="1:9" x14ac:dyDescent="0.35">
      <c r="A438" s="11">
        <v>14507.85851619007</v>
      </c>
      <c r="B438" s="20">
        <f t="shared" si="24"/>
        <v>300000</v>
      </c>
      <c r="C438" s="17">
        <f t="shared" si="25"/>
        <v>515550.09613330488</v>
      </c>
      <c r="G438" s="11">
        <v>4414.6855067598499</v>
      </c>
      <c r="H438" s="20">
        <f t="shared" si="26"/>
        <v>220734.2753379925</v>
      </c>
      <c r="I438" s="17">
        <f t="shared" si="27"/>
        <v>-190972.0145268105</v>
      </c>
    </row>
    <row r="439" spans="1:9" x14ac:dyDescent="0.35">
      <c r="A439" s="11">
        <v>16479.049043244726</v>
      </c>
      <c r="B439" s="20">
        <f t="shared" si="24"/>
        <v>300000</v>
      </c>
      <c r="C439" s="17">
        <f t="shared" si="25"/>
        <v>550000</v>
      </c>
      <c r="G439" s="11">
        <v>7605.8534501174963</v>
      </c>
      <c r="H439" s="20">
        <f t="shared" si="26"/>
        <v>300000</v>
      </c>
      <c r="I439" s="17">
        <f t="shared" si="27"/>
        <v>32409.741508224746</v>
      </c>
    </row>
    <row r="440" spans="1:9" x14ac:dyDescent="0.35">
      <c r="A440" s="11">
        <v>16410.534989471114</v>
      </c>
      <c r="B440" s="20">
        <f t="shared" si="24"/>
        <v>300000</v>
      </c>
      <c r="C440" s="17">
        <f t="shared" si="25"/>
        <v>550000</v>
      </c>
      <c r="G440" s="11">
        <v>7856.410412915433</v>
      </c>
      <c r="H440" s="20">
        <f t="shared" si="26"/>
        <v>300000</v>
      </c>
      <c r="I440" s="17">
        <f t="shared" si="27"/>
        <v>49948.728904080344</v>
      </c>
    </row>
    <row r="441" spans="1:9" x14ac:dyDescent="0.35">
      <c r="A441" s="11">
        <v>12662.09906308176</v>
      </c>
      <c r="B441" s="20">
        <f t="shared" si="24"/>
        <v>300000</v>
      </c>
      <c r="C441" s="17">
        <f t="shared" si="25"/>
        <v>386346.9344157232</v>
      </c>
      <c r="G441" s="11">
        <v>3236.5184484389783</v>
      </c>
      <c r="H441" s="20">
        <f t="shared" si="26"/>
        <v>161825.92242194893</v>
      </c>
      <c r="I441" s="17">
        <f t="shared" si="27"/>
        <v>-273443.7086092715</v>
      </c>
    </row>
    <row r="442" spans="1:9" x14ac:dyDescent="0.35">
      <c r="A442" s="11">
        <v>12524.918362987151</v>
      </c>
      <c r="B442" s="20">
        <f t="shared" si="24"/>
        <v>300000</v>
      </c>
      <c r="C442" s="17">
        <f t="shared" si="25"/>
        <v>376744.28540910059</v>
      </c>
      <c r="G442" s="11">
        <v>4391.7966246528522</v>
      </c>
      <c r="H442" s="20">
        <f t="shared" si="26"/>
        <v>219589.83123264261</v>
      </c>
      <c r="I442" s="17">
        <f t="shared" si="27"/>
        <v>-192574.23627430038</v>
      </c>
    </row>
    <row r="443" spans="1:9" x14ac:dyDescent="0.35">
      <c r="A443" s="11">
        <v>14317.423017059846</v>
      </c>
      <c r="B443" s="20">
        <f t="shared" si="24"/>
        <v>300000</v>
      </c>
      <c r="C443" s="17">
        <f t="shared" si="25"/>
        <v>502219.61119418917</v>
      </c>
      <c r="G443" s="11">
        <v>4465.8040101321449</v>
      </c>
      <c r="H443" s="20">
        <f t="shared" si="26"/>
        <v>223290.20050660725</v>
      </c>
      <c r="I443" s="17">
        <f t="shared" si="27"/>
        <v>-187393.71929074987</v>
      </c>
    </row>
    <row r="444" spans="1:9" x14ac:dyDescent="0.35">
      <c r="A444" s="11">
        <v>15595.38560136723</v>
      </c>
      <c r="B444" s="20">
        <f t="shared" si="24"/>
        <v>300000</v>
      </c>
      <c r="C444" s="17">
        <f t="shared" si="25"/>
        <v>550000</v>
      </c>
      <c r="G444" s="11">
        <v>4842.8601947080906</v>
      </c>
      <c r="H444" s="20">
        <f t="shared" si="26"/>
        <v>242143.00973540454</v>
      </c>
      <c r="I444" s="17">
        <f t="shared" si="27"/>
        <v>-160999.78637043363</v>
      </c>
    </row>
    <row r="445" spans="1:9" x14ac:dyDescent="0.35">
      <c r="A445" s="11">
        <v>16900.509659108247</v>
      </c>
      <c r="B445" s="20">
        <f t="shared" si="24"/>
        <v>300000</v>
      </c>
      <c r="C445" s="17">
        <f t="shared" si="25"/>
        <v>550000</v>
      </c>
      <c r="G445" s="11">
        <v>5759.6362193670466</v>
      </c>
      <c r="H445" s="20">
        <f t="shared" si="26"/>
        <v>287981.81096835231</v>
      </c>
      <c r="I445" s="17">
        <f t="shared" si="27"/>
        <v>-96825.464644306747</v>
      </c>
    </row>
    <row r="446" spans="1:9" x14ac:dyDescent="0.35">
      <c r="A446" s="11">
        <v>14753.837702566607</v>
      </c>
      <c r="B446" s="20">
        <f t="shared" si="24"/>
        <v>300000</v>
      </c>
      <c r="C446" s="17">
        <f t="shared" si="25"/>
        <v>532768.63917966245</v>
      </c>
      <c r="G446" s="11">
        <v>7829.706717123936</v>
      </c>
      <c r="H446" s="20">
        <f t="shared" si="26"/>
        <v>300000</v>
      </c>
      <c r="I446" s="17">
        <f t="shared" si="27"/>
        <v>48079.470198675524</v>
      </c>
    </row>
    <row r="447" spans="1:9" x14ac:dyDescent="0.35">
      <c r="A447" s="11">
        <v>16831.843012787256</v>
      </c>
      <c r="B447" s="20">
        <f t="shared" si="24"/>
        <v>300000</v>
      </c>
      <c r="C447" s="17">
        <f t="shared" si="25"/>
        <v>550000</v>
      </c>
      <c r="G447" s="11">
        <v>6766.5944395275737</v>
      </c>
      <c r="H447" s="20">
        <f t="shared" si="26"/>
        <v>300000</v>
      </c>
      <c r="I447" s="17">
        <f t="shared" si="27"/>
        <v>-26338.389233069844</v>
      </c>
    </row>
    <row r="448" spans="1:9" x14ac:dyDescent="0.35">
      <c r="A448" s="11">
        <v>13348.765526291696</v>
      </c>
      <c r="B448" s="20">
        <f t="shared" si="24"/>
        <v>300000</v>
      </c>
      <c r="C448" s="17">
        <f t="shared" si="25"/>
        <v>434413.58684041875</v>
      </c>
      <c r="G448" s="11">
        <v>3194.5554979094823</v>
      </c>
      <c r="H448" s="20">
        <f t="shared" si="26"/>
        <v>159727.77489547411</v>
      </c>
      <c r="I448" s="17">
        <f t="shared" si="27"/>
        <v>-276381.11514633626</v>
      </c>
    </row>
    <row r="449" spans="1:9" x14ac:dyDescent="0.35">
      <c r="A449" s="11">
        <v>14049.012726218451</v>
      </c>
      <c r="B449" s="20">
        <f t="shared" si="24"/>
        <v>300000</v>
      </c>
      <c r="C449" s="17">
        <f t="shared" si="25"/>
        <v>483430.89083529159</v>
      </c>
      <c r="G449" s="11">
        <v>5655.8732871486554</v>
      </c>
      <c r="H449" s="20">
        <f t="shared" si="26"/>
        <v>282793.66435743275</v>
      </c>
      <c r="I449" s="17">
        <f t="shared" si="27"/>
        <v>-104088.86989959411</v>
      </c>
    </row>
    <row r="450" spans="1:9" x14ac:dyDescent="0.35">
      <c r="A450" s="11">
        <v>13183.96557512131</v>
      </c>
      <c r="B450" s="20">
        <f t="shared" si="24"/>
        <v>300000</v>
      </c>
      <c r="C450" s="17">
        <f t="shared" si="25"/>
        <v>422877.59025849169</v>
      </c>
      <c r="G450" s="11">
        <v>6147.8316599017307</v>
      </c>
      <c r="H450" s="20">
        <f t="shared" si="26"/>
        <v>300000</v>
      </c>
      <c r="I450" s="17">
        <f t="shared" si="27"/>
        <v>-69651.783806878841</v>
      </c>
    </row>
    <row r="451" spans="1:9" x14ac:dyDescent="0.35">
      <c r="A451" s="11">
        <v>13603.747672963653</v>
      </c>
      <c r="B451" s="20">
        <f t="shared" si="24"/>
        <v>300000</v>
      </c>
      <c r="C451" s="17">
        <f t="shared" si="25"/>
        <v>452262.33710745571</v>
      </c>
      <c r="G451" s="11">
        <v>4205.9389019440296</v>
      </c>
      <c r="H451" s="20">
        <f t="shared" si="26"/>
        <v>210296.94509720147</v>
      </c>
      <c r="I451" s="17">
        <f t="shared" si="27"/>
        <v>-205584.27686391794</v>
      </c>
    </row>
    <row r="452" spans="1:9" x14ac:dyDescent="0.35">
      <c r="A452" s="11">
        <v>16777.977843562119</v>
      </c>
      <c r="B452" s="20">
        <f t="shared" si="24"/>
        <v>300000</v>
      </c>
      <c r="C452" s="17">
        <f t="shared" si="25"/>
        <v>550000</v>
      </c>
      <c r="G452" s="11">
        <v>4444.8988311410867</v>
      </c>
      <c r="H452" s="20">
        <f t="shared" si="26"/>
        <v>222244.94155705435</v>
      </c>
      <c r="I452" s="17">
        <f t="shared" si="27"/>
        <v>-188857.08182012395</v>
      </c>
    </row>
    <row r="453" spans="1:9" x14ac:dyDescent="0.35">
      <c r="A453" s="11">
        <v>12731.528672139653</v>
      </c>
      <c r="B453" s="20">
        <f t="shared" si="24"/>
        <v>300000</v>
      </c>
      <c r="C453" s="17">
        <f t="shared" si="25"/>
        <v>391207.00704977568</v>
      </c>
      <c r="G453" s="11">
        <v>3942.7167577135533</v>
      </c>
      <c r="H453" s="20">
        <f t="shared" si="26"/>
        <v>197135.83788567767</v>
      </c>
      <c r="I453" s="17">
        <f t="shared" si="27"/>
        <v>-224009.82696005126</v>
      </c>
    </row>
    <row r="454" spans="1:9" x14ac:dyDescent="0.35">
      <c r="A454" s="11">
        <v>14612.0792260506</v>
      </c>
      <c r="B454" s="20">
        <f t="shared" si="24"/>
        <v>300000</v>
      </c>
      <c r="C454" s="17">
        <f t="shared" si="25"/>
        <v>522845.54582354205</v>
      </c>
      <c r="G454" s="11">
        <v>6941.7706839197981</v>
      </c>
      <c r="H454" s="20">
        <f t="shared" si="26"/>
        <v>300000</v>
      </c>
      <c r="I454" s="17">
        <f t="shared" si="27"/>
        <v>-14076.052125614136</v>
      </c>
    </row>
    <row r="455" spans="1:9" x14ac:dyDescent="0.35">
      <c r="A455" s="11">
        <v>13736.808374279</v>
      </c>
      <c r="B455" s="20">
        <f t="shared" si="24"/>
        <v>300000</v>
      </c>
      <c r="C455" s="17">
        <f t="shared" si="25"/>
        <v>461576.58619953005</v>
      </c>
      <c r="G455" s="11">
        <v>4557.9699087496565</v>
      </c>
      <c r="H455" s="20">
        <f t="shared" si="26"/>
        <v>227898.49543748284</v>
      </c>
      <c r="I455" s="17">
        <f t="shared" si="27"/>
        <v>-180942.10638752405</v>
      </c>
    </row>
    <row r="456" spans="1:9" x14ac:dyDescent="0.35">
      <c r="A456" s="11">
        <v>12588.396862697226</v>
      </c>
      <c r="B456" s="20">
        <f t="shared" si="24"/>
        <v>300000</v>
      </c>
      <c r="C456" s="17">
        <f t="shared" si="25"/>
        <v>381187.78038880578</v>
      </c>
      <c r="G456" s="11">
        <v>6095.3398236030152</v>
      </c>
      <c r="H456" s="20">
        <f t="shared" si="26"/>
        <v>300000</v>
      </c>
      <c r="I456" s="17">
        <f t="shared" si="27"/>
        <v>-73326.212347788911</v>
      </c>
    </row>
    <row r="457" spans="1:9" x14ac:dyDescent="0.35">
      <c r="A457" s="11">
        <v>13281.319620349743</v>
      </c>
      <c r="B457" s="20">
        <f t="shared" si="24"/>
        <v>300000</v>
      </c>
      <c r="C457" s="17">
        <f t="shared" si="25"/>
        <v>429692.37342448195</v>
      </c>
      <c r="G457" s="11">
        <v>3147.2518082216866</v>
      </c>
      <c r="H457" s="20">
        <f t="shared" si="26"/>
        <v>157362.59041108433</v>
      </c>
      <c r="I457" s="17">
        <f t="shared" si="27"/>
        <v>-279692.37342448195</v>
      </c>
    </row>
    <row r="458" spans="1:9" x14ac:dyDescent="0.35">
      <c r="A458" s="11">
        <v>14184.057130649739</v>
      </c>
      <c r="B458" s="20">
        <f t="shared" si="24"/>
        <v>300000</v>
      </c>
      <c r="C458" s="17">
        <f t="shared" si="25"/>
        <v>492883.99914548174</v>
      </c>
      <c r="G458" s="11">
        <v>5034.6690267647327</v>
      </c>
      <c r="H458" s="20">
        <f t="shared" si="26"/>
        <v>251733.45133823663</v>
      </c>
      <c r="I458" s="17">
        <f t="shared" si="27"/>
        <v>-147573.16812646872</v>
      </c>
    </row>
    <row r="459" spans="1:9" x14ac:dyDescent="0.35">
      <c r="A459" s="11">
        <v>15858.912930692466</v>
      </c>
      <c r="B459" s="20">
        <f t="shared" si="24"/>
        <v>300000</v>
      </c>
      <c r="C459" s="17">
        <f t="shared" si="25"/>
        <v>550000</v>
      </c>
      <c r="G459" s="11">
        <v>3638.4472182378613</v>
      </c>
      <c r="H459" s="20">
        <f t="shared" si="26"/>
        <v>181922.36091189308</v>
      </c>
      <c r="I459" s="17">
        <f t="shared" si="27"/>
        <v>-245308.6947233497</v>
      </c>
    </row>
    <row r="460" spans="1:9" x14ac:dyDescent="0.35">
      <c r="A460" s="11">
        <v>15202.154606769005</v>
      </c>
      <c r="B460" s="20">
        <f t="shared" si="24"/>
        <v>300000</v>
      </c>
      <c r="C460" s="17">
        <f t="shared" si="25"/>
        <v>550000</v>
      </c>
      <c r="G460" s="11">
        <v>7341.1053804132207</v>
      </c>
      <c r="H460" s="20">
        <f t="shared" si="26"/>
        <v>300000</v>
      </c>
      <c r="I460" s="17">
        <f t="shared" si="27"/>
        <v>13877.376628925442</v>
      </c>
    </row>
    <row r="461" spans="1:9" x14ac:dyDescent="0.35">
      <c r="A461" s="11">
        <v>14018.189031647695</v>
      </c>
      <c r="B461" s="20">
        <f t="shared" si="24"/>
        <v>300000</v>
      </c>
      <c r="C461" s="17">
        <f t="shared" si="25"/>
        <v>481273.23221533862</v>
      </c>
      <c r="G461" s="11">
        <v>3254.5243690298166</v>
      </c>
      <c r="H461" s="20">
        <f t="shared" si="26"/>
        <v>162726.21845149083</v>
      </c>
      <c r="I461" s="17">
        <f t="shared" si="27"/>
        <v>-272183.2941679128</v>
      </c>
    </row>
    <row r="462" spans="1:9" x14ac:dyDescent="0.35">
      <c r="A462" s="11">
        <v>14686.849574266793</v>
      </c>
      <c r="B462" s="20">
        <f t="shared" si="24"/>
        <v>300000</v>
      </c>
      <c r="C462" s="17">
        <f t="shared" si="25"/>
        <v>528079.47019867552</v>
      </c>
      <c r="G462" s="11">
        <v>5259.1326639606923</v>
      </c>
      <c r="H462" s="20">
        <f t="shared" si="26"/>
        <v>262956.6331980346</v>
      </c>
      <c r="I462" s="17">
        <f t="shared" si="27"/>
        <v>-131860.71352275152</v>
      </c>
    </row>
    <row r="463" spans="1:9" x14ac:dyDescent="0.35">
      <c r="A463" s="11">
        <v>15869.594409009063</v>
      </c>
      <c r="B463" s="20">
        <f t="shared" si="24"/>
        <v>300000</v>
      </c>
      <c r="C463" s="17">
        <f t="shared" si="25"/>
        <v>550000</v>
      </c>
      <c r="G463" s="11">
        <v>5086.5504928739283</v>
      </c>
      <c r="H463" s="20">
        <f t="shared" si="26"/>
        <v>254327.52464369641</v>
      </c>
      <c r="I463" s="17">
        <f t="shared" si="27"/>
        <v>-143941.46549882501</v>
      </c>
    </row>
    <row r="464" spans="1:9" x14ac:dyDescent="0.35">
      <c r="A464" s="11">
        <v>16639.423810541091</v>
      </c>
      <c r="B464" s="20">
        <f t="shared" si="24"/>
        <v>300000</v>
      </c>
      <c r="C464" s="17">
        <f t="shared" si="25"/>
        <v>550000</v>
      </c>
      <c r="G464" s="11">
        <v>5353.7400433362836</v>
      </c>
      <c r="H464" s="20">
        <f t="shared" si="26"/>
        <v>267687.00216681417</v>
      </c>
      <c r="I464" s="17">
        <f t="shared" si="27"/>
        <v>-125238.19696646015</v>
      </c>
    </row>
    <row r="465" spans="1:9" x14ac:dyDescent="0.35">
      <c r="A465" s="11">
        <v>12223.395489364299</v>
      </c>
      <c r="B465" s="20">
        <f t="shared" si="24"/>
        <v>300000</v>
      </c>
      <c r="C465" s="17">
        <f t="shared" si="25"/>
        <v>355637.68425550091</v>
      </c>
      <c r="G465" s="11">
        <v>5985.1680043946653</v>
      </c>
      <c r="H465" s="20">
        <f t="shared" si="26"/>
        <v>299258.40021973324</v>
      </c>
      <c r="I465" s="17">
        <f t="shared" si="27"/>
        <v>-81038.239692373434</v>
      </c>
    </row>
    <row r="466" spans="1:9" x14ac:dyDescent="0.35">
      <c r="A466" s="11">
        <v>16749.290444654682</v>
      </c>
      <c r="B466" s="20">
        <f t="shared" si="24"/>
        <v>300000</v>
      </c>
      <c r="C466" s="17">
        <f t="shared" si="25"/>
        <v>550000</v>
      </c>
      <c r="G466" s="11">
        <v>5248.6037781914729</v>
      </c>
      <c r="H466" s="20">
        <f t="shared" si="26"/>
        <v>262430.18890957366</v>
      </c>
      <c r="I466" s="17">
        <f t="shared" si="27"/>
        <v>-132597.73552659689</v>
      </c>
    </row>
    <row r="467" spans="1:9" x14ac:dyDescent="0.35">
      <c r="A467" s="11">
        <v>16962.767418439282</v>
      </c>
      <c r="B467" s="20">
        <f t="shared" si="24"/>
        <v>300000</v>
      </c>
      <c r="C467" s="17">
        <f t="shared" si="25"/>
        <v>550000</v>
      </c>
      <c r="G467" s="11">
        <v>5115.5430768761253</v>
      </c>
      <c r="H467" s="20">
        <f t="shared" si="26"/>
        <v>255777.15384380627</v>
      </c>
      <c r="I467" s="17">
        <f t="shared" si="27"/>
        <v>-141911.98461867124</v>
      </c>
    </row>
    <row r="468" spans="1:9" x14ac:dyDescent="0.35">
      <c r="A468" s="11">
        <v>14576.219977416304</v>
      </c>
      <c r="B468" s="20">
        <f t="shared" si="24"/>
        <v>300000</v>
      </c>
      <c r="C468" s="17">
        <f t="shared" si="25"/>
        <v>520335.3984191413</v>
      </c>
      <c r="G468" s="11">
        <v>6650.9292886135445</v>
      </c>
      <c r="H468" s="20">
        <f t="shared" si="26"/>
        <v>300000</v>
      </c>
      <c r="I468" s="17">
        <f t="shared" si="27"/>
        <v>-34434.949797051901</v>
      </c>
    </row>
    <row r="469" spans="1:9" x14ac:dyDescent="0.35">
      <c r="A469" s="11">
        <v>15593.40189825129</v>
      </c>
      <c r="B469" s="20">
        <f t="shared" si="24"/>
        <v>300000</v>
      </c>
      <c r="C469" s="17">
        <f t="shared" si="25"/>
        <v>550000</v>
      </c>
      <c r="G469" s="11">
        <v>3809.6560563982057</v>
      </c>
      <c r="H469" s="20">
        <f t="shared" si="26"/>
        <v>190482.80281991028</v>
      </c>
      <c r="I469" s="17">
        <f t="shared" si="27"/>
        <v>-233324.0760521256</v>
      </c>
    </row>
    <row r="470" spans="1:9" x14ac:dyDescent="0.35">
      <c r="A470" s="11">
        <v>12607.013153477585</v>
      </c>
      <c r="B470" s="20">
        <f t="shared" si="24"/>
        <v>300000</v>
      </c>
      <c r="C470" s="17">
        <f t="shared" si="25"/>
        <v>382490.92074343096</v>
      </c>
      <c r="G470" s="11">
        <v>4019.1656239509261</v>
      </c>
      <c r="H470" s="20">
        <f t="shared" si="26"/>
        <v>200958.28119754631</v>
      </c>
      <c r="I470" s="17">
        <f t="shared" si="27"/>
        <v>-218658.40632343519</v>
      </c>
    </row>
    <row r="471" spans="1:9" x14ac:dyDescent="0.35">
      <c r="A471" s="11">
        <v>13956.08386486404</v>
      </c>
      <c r="B471" s="20">
        <f t="shared" si="24"/>
        <v>300000</v>
      </c>
      <c r="C471" s="17">
        <f t="shared" si="25"/>
        <v>476925.87054048281</v>
      </c>
      <c r="G471" s="11">
        <v>4892.605365153966</v>
      </c>
      <c r="H471" s="20">
        <f t="shared" si="26"/>
        <v>244630.26825769831</v>
      </c>
      <c r="I471" s="17">
        <f t="shared" si="27"/>
        <v>-157517.62443922239</v>
      </c>
    </row>
    <row r="472" spans="1:9" x14ac:dyDescent="0.35">
      <c r="A472" s="11">
        <v>12482.497634815516</v>
      </c>
      <c r="B472" s="20">
        <f t="shared" si="24"/>
        <v>300000</v>
      </c>
      <c r="C472" s="17">
        <f t="shared" si="25"/>
        <v>373774.83443708613</v>
      </c>
      <c r="G472" s="11">
        <v>5585.9859004486225</v>
      </c>
      <c r="H472" s="20">
        <f t="shared" si="26"/>
        <v>279299.29502243112</v>
      </c>
      <c r="I472" s="17">
        <f t="shared" si="27"/>
        <v>-108980.98696859641</v>
      </c>
    </row>
    <row r="473" spans="1:9" x14ac:dyDescent="0.35">
      <c r="A473" s="11">
        <v>12451.979125339518</v>
      </c>
      <c r="B473" s="20">
        <f t="shared" si="24"/>
        <v>300000</v>
      </c>
      <c r="C473" s="17">
        <f t="shared" si="25"/>
        <v>371638.53877376625</v>
      </c>
      <c r="G473" s="11">
        <v>7605.8534501174963</v>
      </c>
      <c r="H473" s="20">
        <f t="shared" si="26"/>
        <v>300000</v>
      </c>
      <c r="I473" s="17">
        <f t="shared" si="27"/>
        <v>32409.741508224746</v>
      </c>
    </row>
    <row r="474" spans="1:9" x14ac:dyDescent="0.35">
      <c r="A474" s="11">
        <v>13590.014343699453</v>
      </c>
      <c r="B474" s="20">
        <f t="shared" si="24"/>
        <v>300000</v>
      </c>
      <c r="C474" s="17">
        <f t="shared" si="25"/>
        <v>451301.00405896176</v>
      </c>
      <c r="G474" s="11">
        <v>4624.5002594073303</v>
      </c>
      <c r="H474" s="20">
        <f t="shared" si="26"/>
        <v>231225.01297036652</v>
      </c>
      <c r="I474" s="17">
        <f t="shared" si="27"/>
        <v>-176284.98184148688</v>
      </c>
    </row>
    <row r="475" spans="1:9" x14ac:dyDescent="0.35">
      <c r="A475" s="11">
        <v>16457.991271706291</v>
      </c>
      <c r="B475" s="20">
        <f t="shared" si="24"/>
        <v>300000</v>
      </c>
      <c r="C475" s="17">
        <f t="shared" si="25"/>
        <v>550000</v>
      </c>
      <c r="G475" s="11">
        <v>5699.3621631519509</v>
      </c>
      <c r="H475" s="20">
        <f t="shared" si="26"/>
        <v>284968.10815759754</v>
      </c>
      <c r="I475" s="17">
        <f t="shared" si="27"/>
        <v>-101044.64857936342</v>
      </c>
    </row>
    <row r="476" spans="1:9" x14ac:dyDescent="0.35">
      <c r="A476" s="11">
        <v>13244.697408978545</v>
      </c>
      <c r="B476" s="20">
        <f t="shared" si="24"/>
        <v>300000</v>
      </c>
      <c r="C476" s="17">
        <f t="shared" si="25"/>
        <v>427128.81862849812</v>
      </c>
      <c r="G476" s="11">
        <v>4488.2351145970033</v>
      </c>
      <c r="H476" s="20">
        <f t="shared" si="26"/>
        <v>224411.75572985018</v>
      </c>
      <c r="I476" s="17">
        <f t="shared" si="27"/>
        <v>-185823.54197820975</v>
      </c>
    </row>
    <row r="477" spans="1:9" x14ac:dyDescent="0.35">
      <c r="A477" s="11">
        <v>16505.142368846704</v>
      </c>
      <c r="B477" s="20">
        <f t="shared" si="24"/>
        <v>300000</v>
      </c>
      <c r="C477" s="17">
        <f t="shared" si="25"/>
        <v>550000</v>
      </c>
      <c r="G477" s="11">
        <v>4363.7195959349347</v>
      </c>
      <c r="H477" s="20">
        <f t="shared" si="26"/>
        <v>218185.97979674675</v>
      </c>
      <c r="I477" s="17">
        <f t="shared" si="27"/>
        <v>-194539.62828455458</v>
      </c>
    </row>
    <row r="478" spans="1:9" x14ac:dyDescent="0.35">
      <c r="A478" s="11">
        <v>13983.397930845058</v>
      </c>
      <c r="B478" s="20">
        <f t="shared" si="24"/>
        <v>300000</v>
      </c>
      <c r="C478" s="17">
        <f t="shared" si="25"/>
        <v>478837.85515915405</v>
      </c>
      <c r="G478" s="11">
        <v>6662.8315073091835</v>
      </c>
      <c r="H478" s="20">
        <f t="shared" si="26"/>
        <v>300000</v>
      </c>
      <c r="I478" s="17">
        <f t="shared" si="27"/>
        <v>-33601.794488357147</v>
      </c>
    </row>
    <row r="479" spans="1:9" x14ac:dyDescent="0.35">
      <c r="A479" s="11">
        <v>12903.195287942137</v>
      </c>
      <c r="B479" s="20">
        <f t="shared" si="24"/>
        <v>300000</v>
      </c>
      <c r="C479" s="17">
        <f t="shared" si="25"/>
        <v>403223.67015594954</v>
      </c>
      <c r="G479" s="11">
        <v>4533.7076937162392</v>
      </c>
      <c r="H479" s="20">
        <f t="shared" si="26"/>
        <v>226685.38468581197</v>
      </c>
      <c r="I479" s="17">
        <f t="shared" si="27"/>
        <v>-182640.46143986325</v>
      </c>
    </row>
    <row r="480" spans="1:9" x14ac:dyDescent="0.35">
      <c r="A480" s="11">
        <v>15182.927945799127</v>
      </c>
      <c r="B480" s="20">
        <f t="shared" si="24"/>
        <v>300000</v>
      </c>
      <c r="C480" s="17">
        <f t="shared" si="25"/>
        <v>550000</v>
      </c>
      <c r="G480" s="11">
        <v>7483.3216345713681</v>
      </c>
      <c r="H480" s="20">
        <f t="shared" si="26"/>
        <v>300000</v>
      </c>
      <c r="I480" s="17">
        <f t="shared" si="27"/>
        <v>23832.514419995772</v>
      </c>
    </row>
    <row r="481" spans="1:9" x14ac:dyDescent="0.35">
      <c r="A481" s="11">
        <v>14416.608172856837</v>
      </c>
      <c r="B481" s="20">
        <f t="shared" si="24"/>
        <v>300000</v>
      </c>
      <c r="C481" s="17">
        <f t="shared" si="25"/>
        <v>509162.57209997857</v>
      </c>
      <c r="G481" s="11">
        <v>3846.7360454115419</v>
      </c>
      <c r="H481" s="20">
        <f t="shared" si="26"/>
        <v>192336.80227057709</v>
      </c>
      <c r="I481" s="17">
        <f t="shared" si="27"/>
        <v>-230728.47682119207</v>
      </c>
    </row>
    <row r="482" spans="1:9" x14ac:dyDescent="0.35">
      <c r="A482" s="11">
        <v>16424.878688924833</v>
      </c>
      <c r="B482" s="20">
        <f t="shared" ref="B482:B545" si="28">50*MIN(6000,A482)</f>
        <v>300000</v>
      </c>
      <c r="C482" s="17">
        <f t="shared" ref="C482:C545" si="29">70*MIN(15000,A482)-500000</f>
        <v>550000</v>
      </c>
      <c r="G482" s="11">
        <v>6920.4077272865998</v>
      </c>
      <c r="H482" s="20">
        <f t="shared" ref="H482:H545" si="30">50*MIN(6000,G482)</f>
        <v>300000</v>
      </c>
      <c r="I482" s="17">
        <f t="shared" ref="I482:I545" si="31">70*MIN(15000,G482)-500000</f>
        <v>-15571.459089938027</v>
      </c>
    </row>
    <row r="483" spans="1:9" x14ac:dyDescent="0.35">
      <c r="A483" s="11">
        <v>14991.119113742485</v>
      </c>
      <c r="B483" s="20">
        <f t="shared" si="28"/>
        <v>300000</v>
      </c>
      <c r="C483" s="17">
        <f t="shared" si="29"/>
        <v>549378.33796197386</v>
      </c>
      <c r="G483" s="11">
        <v>5306.7415387432484</v>
      </c>
      <c r="H483" s="20">
        <f t="shared" si="30"/>
        <v>265337.07693716243</v>
      </c>
      <c r="I483" s="17">
        <f t="shared" si="31"/>
        <v>-128528.09228797263</v>
      </c>
    </row>
    <row r="484" spans="1:9" x14ac:dyDescent="0.35">
      <c r="A484" s="11">
        <v>16865.260780663473</v>
      </c>
      <c r="B484" s="20">
        <f t="shared" si="28"/>
        <v>300000</v>
      </c>
      <c r="C484" s="17">
        <f t="shared" si="29"/>
        <v>550000</v>
      </c>
      <c r="G484" s="11">
        <v>7528.4890285958436</v>
      </c>
      <c r="H484" s="20">
        <f t="shared" si="30"/>
        <v>300000</v>
      </c>
      <c r="I484" s="17">
        <f t="shared" si="31"/>
        <v>26994.232001709053</v>
      </c>
    </row>
    <row r="485" spans="1:9" x14ac:dyDescent="0.35">
      <c r="A485" s="11">
        <v>16988.40296639912</v>
      </c>
      <c r="B485" s="20">
        <f t="shared" si="28"/>
        <v>300000</v>
      </c>
      <c r="C485" s="17">
        <f t="shared" si="29"/>
        <v>550000</v>
      </c>
      <c r="G485" s="11">
        <v>5613.7577440717796</v>
      </c>
      <c r="H485" s="20">
        <f t="shared" si="30"/>
        <v>280687.88720358897</v>
      </c>
      <c r="I485" s="17">
        <f t="shared" si="31"/>
        <v>-107036.95791497541</v>
      </c>
    </row>
    <row r="486" spans="1:9" x14ac:dyDescent="0.35">
      <c r="A486" s="11">
        <v>16489.730521561327</v>
      </c>
      <c r="B486" s="20">
        <f t="shared" si="28"/>
        <v>300000</v>
      </c>
      <c r="C486" s="17">
        <f t="shared" si="29"/>
        <v>550000</v>
      </c>
      <c r="G486" s="11">
        <v>3930.3567613757746</v>
      </c>
      <c r="H486" s="20">
        <f t="shared" si="30"/>
        <v>196517.83806878873</v>
      </c>
      <c r="I486" s="17">
        <f t="shared" si="31"/>
        <v>-224875.02670369577</v>
      </c>
    </row>
    <row r="487" spans="1:9" x14ac:dyDescent="0.35">
      <c r="A487" s="11">
        <v>14551.957762382885</v>
      </c>
      <c r="B487" s="20">
        <f t="shared" si="28"/>
        <v>300000</v>
      </c>
      <c r="C487" s="17">
        <f t="shared" si="29"/>
        <v>518637.04336680193</v>
      </c>
      <c r="G487" s="11">
        <v>3290.9939878536334</v>
      </c>
      <c r="H487" s="20">
        <f t="shared" si="30"/>
        <v>164549.69939268168</v>
      </c>
      <c r="I487" s="17">
        <f t="shared" si="31"/>
        <v>-269630.42085024563</v>
      </c>
    </row>
    <row r="488" spans="1:9" x14ac:dyDescent="0.35">
      <c r="A488" s="11">
        <v>14627.948850978119</v>
      </c>
      <c r="B488" s="20">
        <f t="shared" si="28"/>
        <v>300000</v>
      </c>
      <c r="C488" s="17">
        <f t="shared" si="29"/>
        <v>523956.41956846835</v>
      </c>
      <c r="G488" s="11">
        <v>3690.1760917996762</v>
      </c>
      <c r="H488" s="20">
        <f t="shared" si="30"/>
        <v>184508.8045899838</v>
      </c>
      <c r="I488" s="17">
        <f t="shared" si="31"/>
        <v>-241687.67357402266</v>
      </c>
    </row>
    <row r="489" spans="1:9" x14ac:dyDescent="0.35">
      <c r="A489" s="11">
        <v>12224.311044648579</v>
      </c>
      <c r="B489" s="20">
        <f t="shared" si="28"/>
        <v>300000</v>
      </c>
      <c r="C489" s="17">
        <f t="shared" si="29"/>
        <v>355701.77312540053</v>
      </c>
      <c r="G489" s="11">
        <v>5308.5726493118073</v>
      </c>
      <c r="H489" s="20">
        <f t="shared" si="30"/>
        <v>265428.63246559037</v>
      </c>
      <c r="I489" s="17">
        <f t="shared" si="31"/>
        <v>-128399.91454817349</v>
      </c>
    </row>
    <row r="490" spans="1:9" x14ac:dyDescent="0.35">
      <c r="A490" s="11">
        <v>16622.943815424056</v>
      </c>
      <c r="B490" s="20">
        <f t="shared" si="28"/>
        <v>300000</v>
      </c>
      <c r="C490" s="17">
        <f t="shared" si="29"/>
        <v>550000</v>
      </c>
      <c r="G490" s="11">
        <v>4728.2631916257214</v>
      </c>
      <c r="H490" s="20">
        <f t="shared" si="30"/>
        <v>236413.15958128608</v>
      </c>
      <c r="I490" s="17">
        <f t="shared" si="31"/>
        <v>-169021.57658619952</v>
      </c>
    </row>
    <row r="491" spans="1:9" x14ac:dyDescent="0.35">
      <c r="A491" s="11">
        <v>12379.497665334025</v>
      </c>
      <c r="B491" s="20">
        <f t="shared" si="28"/>
        <v>300000</v>
      </c>
      <c r="C491" s="17">
        <f t="shared" si="29"/>
        <v>366564.83657338179</v>
      </c>
      <c r="G491" s="11">
        <v>7978.7896359141823</v>
      </c>
      <c r="H491" s="20">
        <f t="shared" si="30"/>
        <v>300000</v>
      </c>
      <c r="I491" s="17">
        <f t="shared" si="31"/>
        <v>58515.274513992714</v>
      </c>
    </row>
    <row r="492" spans="1:9" x14ac:dyDescent="0.35">
      <c r="A492" s="11">
        <v>14208.014160588396</v>
      </c>
      <c r="B492" s="20">
        <f t="shared" si="28"/>
        <v>300000</v>
      </c>
      <c r="C492" s="17">
        <f t="shared" si="29"/>
        <v>494560.99124118779</v>
      </c>
      <c r="G492" s="11">
        <v>3198.9806817835015</v>
      </c>
      <c r="H492" s="20">
        <f t="shared" si="30"/>
        <v>159949.03408917508</v>
      </c>
      <c r="I492" s="17">
        <f t="shared" si="31"/>
        <v>-276071.3522751549</v>
      </c>
    </row>
    <row r="493" spans="1:9" x14ac:dyDescent="0.35">
      <c r="A493" s="11">
        <v>16062.623981444747</v>
      </c>
      <c r="B493" s="20">
        <f t="shared" si="28"/>
        <v>300000</v>
      </c>
      <c r="C493" s="17">
        <f t="shared" si="29"/>
        <v>550000</v>
      </c>
      <c r="G493" s="11">
        <v>6624.0730002746668</v>
      </c>
      <c r="H493" s="20">
        <f t="shared" si="30"/>
        <v>300000</v>
      </c>
      <c r="I493" s="17">
        <f t="shared" si="31"/>
        <v>-36314.889980773325</v>
      </c>
    </row>
    <row r="494" spans="1:9" x14ac:dyDescent="0.35">
      <c r="A494" s="11">
        <v>12070.955534531693</v>
      </c>
      <c r="B494" s="20">
        <f t="shared" si="28"/>
        <v>300000</v>
      </c>
      <c r="C494" s="17">
        <f t="shared" si="29"/>
        <v>344966.88741721853</v>
      </c>
      <c r="G494" s="11">
        <v>4586.1995300149538</v>
      </c>
      <c r="H494" s="20">
        <f t="shared" si="30"/>
        <v>229309.9765007477</v>
      </c>
      <c r="I494" s="17">
        <f t="shared" si="31"/>
        <v>-178966.03289895324</v>
      </c>
    </row>
    <row r="495" spans="1:9" x14ac:dyDescent="0.35">
      <c r="A495" s="11">
        <v>16056.215094454787</v>
      </c>
      <c r="B495" s="20">
        <f t="shared" si="28"/>
        <v>300000</v>
      </c>
      <c r="C495" s="17">
        <f t="shared" si="29"/>
        <v>550000</v>
      </c>
      <c r="G495" s="11">
        <v>7001.5869624927518</v>
      </c>
      <c r="H495" s="20">
        <f t="shared" si="30"/>
        <v>300000</v>
      </c>
      <c r="I495" s="17">
        <f t="shared" si="31"/>
        <v>-9888.9126255073934</v>
      </c>
    </row>
    <row r="496" spans="1:9" x14ac:dyDescent="0.35">
      <c r="A496" s="11">
        <v>15390.911587878049</v>
      </c>
      <c r="B496" s="20">
        <f t="shared" si="28"/>
        <v>300000</v>
      </c>
      <c r="C496" s="17">
        <f t="shared" si="29"/>
        <v>550000</v>
      </c>
      <c r="G496" s="11">
        <v>5309.1830195013281</v>
      </c>
      <c r="H496" s="20">
        <f t="shared" si="30"/>
        <v>265459.15097506641</v>
      </c>
      <c r="I496" s="17">
        <f t="shared" si="31"/>
        <v>-128357.18863490701</v>
      </c>
    </row>
    <row r="497" spans="1:9" x14ac:dyDescent="0.35">
      <c r="A497" s="11">
        <v>14050.843836787011</v>
      </c>
      <c r="B497" s="20">
        <f t="shared" si="28"/>
        <v>300000</v>
      </c>
      <c r="C497" s="17">
        <f t="shared" si="29"/>
        <v>483559.06857509073</v>
      </c>
      <c r="G497" s="11">
        <v>7844.5081942197939</v>
      </c>
      <c r="H497" s="20">
        <f t="shared" si="30"/>
        <v>300000</v>
      </c>
      <c r="I497" s="17">
        <f t="shared" si="31"/>
        <v>49115.573595385533</v>
      </c>
    </row>
    <row r="498" spans="1:9" x14ac:dyDescent="0.35">
      <c r="A498" s="11">
        <v>13974.700155644397</v>
      </c>
      <c r="B498" s="20">
        <f t="shared" si="28"/>
        <v>300000</v>
      </c>
      <c r="C498" s="17">
        <f t="shared" si="29"/>
        <v>478229.01089510787</v>
      </c>
      <c r="G498" s="11">
        <v>3008.3925901058992</v>
      </c>
      <c r="H498" s="20">
        <f t="shared" si="30"/>
        <v>150419.62950529496</v>
      </c>
      <c r="I498" s="17">
        <f t="shared" si="31"/>
        <v>-289412.51869258704</v>
      </c>
    </row>
    <row r="499" spans="1:9" x14ac:dyDescent="0.35">
      <c r="A499" s="11">
        <v>16302.804651020844</v>
      </c>
      <c r="B499" s="20">
        <f t="shared" si="28"/>
        <v>300000</v>
      </c>
      <c r="C499" s="17">
        <f t="shared" si="29"/>
        <v>550000</v>
      </c>
      <c r="G499" s="11">
        <v>6274.9412518692588</v>
      </c>
      <c r="H499" s="20">
        <f t="shared" si="30"/>
        <v>300000</v>
      </c>
      <c r="I499" s="17">
        <f t="shared" si="31"/>
        <v>-60754.112369151902</v>
      </c>
    </row>
    <row r="500" spans="1:9" x14ac:dyDescent="0.35">
      <c r="A500" s="11">
        <v>16083.529160435804</v>
      </c>
      <c r="B500" s="20">
        <f t="shared" si="28"/>
        <v>300000</v>
      </c>
      <c r="C500" s="17">
        <f t="shared" si="29"/>
        <v>550000</v>
      </c>
      <c r="G500" s="11">
        <v>6497.1160008545185</v>
      </c>
      <c r="H500" s="20">
        <f t="shared" si="30"/>
        <v>300000</v>
      </c>
      <c r="I500" s="17">
        <f t="shared" si="31"/>
        <v>-45201.879940183717</v>
      </c>
    </row>
    <row r="501" spans="1:9" x14ac:dyDescent="0.35">
      <c r="A501" s="11">
        <v>14755.058442945647</v>
      </c>
      <c r="B501" s="20">
        <f t="shared" si="28"/>
        <v>300000</v>
      </c>
      <c r="C501" s="17">
        <f t="shared" si="29"/>
        <v>532854.09100619529</v>
      </c>
      <c r="G501" s="11">
        <v>4376.9951475569933</v>
      </c>
      <c r="H501" s="20">
        <f t="shared" si="30"/>
        <v>218849.75737784966</v>
      </c>
      <c r="I501" s="17">
        <f t="shared" si="31"/>
        <v>-193610.33967101044</v>
      </c>
    </row>
    <row r="502" spans="1:9" x14ac:dyDescent="0.35">
      <c r="A502" s="11">
        <v>12274.513992736594</v>
      </c>
      <c r="B502" s="20">
        <f t="shared" si="28"/>
        <v>300000</v>
      </c>
      <c r="C502" s="17">
        <f t="shared" si="29"/>
        <v>359215.97949156165</v>
      </c>
      <c r="G502" s="11">
        <v>6765.0685140537735</v>
      </c>
      <c r="H502" s="20">
        <f t="shared" si="30"/>
        <v>300000</v>
      </c>
      <c r="I502" s="17">
        <f t="shared" si="31"/>
        <v>-26445.204016235832</v>
      </c>
    </row>
    <row r="503" spans="1:9" x14ac:dyDescent="0.35">
      <c r="A503" s="11">
        <v>13886.959440900906</v>
      </c>
      <c r="B503" s="20">
        <f t="shared" si="28"/>
        <v>300000</v>
      </c>
      <c r="C503" s="17">
        <f t="shared" si="29"/>
        <v>472087.16086306341</v>
      </c>
      <c r="G503" s="11">
        <v>4015.0456251716669</v>
      </c>
      <c r="H503" s="20">
        <f t="shared" si="30"/>
        <v>200752.28125858333</v>
      </c>
      <c r="I503" s="17">
        <f t="shared" si="31"/>
        <v>-218946.80623798334</v>
      </c>
    </row>
    <row r="504" spans="1:9" x14ac:dyDescent="0.35">
      <c r="A504" s="11">
        <v>14718.436231574449</v>
      </c>
      <c r="B504" s="20">
        <f t="shared" si="28"/>
        <v>300000</v>
      </c>
      <c r="C504" s="17">
        <f t="shared" si="29"/>
        <v>530290.53621021146</v>
      </c>
      <c r="G504" s="11">
        <v>4029.0841395306252</v>
      </c>
      <c r="H504" s="20">
        <f t="shared" si="30"/>
        <v>201454.20697653125</v>
      </c>
      <c r="I504" s="17">
        <f t="shared" si="31"/>
        <v>-217964.11023285624</v>
      </c>
    </row>
    <row r="505" spans="1:9" x14ac:dyDescent="0.35">
      <c r="A505" s="11">
        <v>13174.199652088992</v>
      </c>
      <c r="B505" s="20">
        <f t="shared" si="28"/>
        <v>300000</v>
      </c>
      <c r="C505" s="17">
        <f t="shared" si="29"/>
        <v>422193.97564622946</v>
      </c>
      <c r="G505" s="11">
        <v>6172.704245124668</v>
      </c>
      <c r="H505" s="20">
        <f t="shared" si="30"/>
        <v>300000</v>
      </c>
      <c r="I505" s="17">
        <f t="shared" si="31"/>
        <v>-67910.702841273218</v>
      </c>
    </row>
    <row r="506" spans="1:9" x14ac:dyDescent="0.35">
      <c r="A506" s="11">
        <v>13586.657307657093</v>
      </c>
      <c r="B506" s="20">
        <f t="shared" si="28"/>
        <v>300000</v>
      </c>
      <c r="C506" s="17">
        <f t="shared" si="29"/>
        <v>451066.01153599657</v>
      </c>
      <c r="G506" s="11">
        <v>3250.5569627979371</v>
      </c>
      <c r="H506" s="20">
        <f t="shared" si="30"/>
        <v>162527.84813989684</v>
      </c>
      <c r="I506" s="17">
        <f t="shared" si="31"/>
        <v>-272461.0126041444</v>
      </c>
    </row>
    <row r="507" spans="1:9" x14ac:dyDescent="0.35">
      <c r="A507" s="11">
        <v>16618.213446455273</v>
      </c>
      <c r="B507" s="20">
        <f t="shared" si="28"/>
        <v>300000</v>
      </c>
      <c r="C507" s="17">
        <f t="shared" si="29"/>
        <v>550000</v>
      </c>
      <c r="G507" s="11">
        <v>3793.1760612811668</v>
      </c>
      <c r="H507" s="20">
        <f t="shared" si="30"/>
        <v>189658.80306405833</v>
      </c>
      <c r="I507" s="17">
        <f t="shared" si="31"/>
        <v>-234477.67571031832</v>
      </c>
    </row>
    <row r="508" spans="1:9" x14ac:dyDescent="0.35">
      <c r="A508" s="11">
        <v>12391.399884029664</v>
      </c>
      <c r="B508" s="20">
        <f t="shared" si="28"/>
        <v>300000</v>
      </c>
      <c r="C508" s="17">
        <f t="shared" si="29"/>
        <v>367397.99188207649</v>
      </c>
      <c r="G508" s="11">
        <v>7429.6090578936128</v>
      </c>
      <c r="H508" s="20">
        <f t="shared" si="30"/>
        <v>300000</v>
      </c>
      <c r="I508" s="17">
        <f t="shared" si="31"/>
        <v>20072.634052552865</v>
      </c>
    </row>
    <row r="509" spans="1:9" x14ac:dyDescent="0.35">
      <c r="A509" s="11">
        <v>14948.240607928708</v>
      </c>
      <c r="B509" s="20">
        <f t="shared" si="28"/>
        <v>300000</v>
      </c>
      <c r="C509" s="17">
        <f t="shared" si="29"/>
        <v>546376.84255500964</v>
      </c>
      <c r="G509" s="11">
        <v>6449.0493484298231</v>
      </c>
      <c r="H509" s="20">
        <f t="shared" si="30"/>
        <v>300000</v>
      </c>
      <c r="I509" s="17">
        <f t="shared" si="31"/>
        <v>-48566.545609912369</v>
      </c>
    </row>
    <row r="510" spans="1:9" x14ac:dyDescent="0.35">
      <c r="A510" s="11">
        <v>16707.480086672567</v>
      </c>
      <c r="B510" s="20">
        <f t="shared" si="28"/>
        <v>300000</v>
      </c>
      <c r="C510" s="17">
        <f t="shared" si="29"/>
        <v>550000</v>
      </c>
      <c r="G510" s="11">
        <v>4944.9446089053008</v>
      </c>
      <c r="H510" s="20">
        <f t="shared" si="30"/>
        <v>247247.23044526504</v>
      </c>
      <c r="I510" s="17">
        <f t="shared" si="31"/>
        <v>-153853.87737662892</v>
      </c>
    </row>
    <row r="511" spans="1:9" x14ac:dyDescent="0.35">
      <c r="A511" s="11">
        <v>13461.378826258126</v>
      </c>
      <c r="B511" s="20">
        <f t="shared" si="28"/>
        <v>300000</v>
      </c>
      <c r="C511" s="17">
        <f t="shared" si="29"/>
        <v>442296.51783806877</v>
      </c>
      <c r="G511" s="11">
        <v>4276.1314737388229</v>
      </c>
      <c r="H511" s="20">
        <f t="shared" si="30"/>
        <v>213806.57368694115</v>
      </c>
      <c r="I511" s="17">
        <f t="shared" si="31"/>
        <v>-200670.79683828237</v>
      </c>
    </row>
    <row r="512" spans="1:9" x14ac:dyDescent="0.35">
      <c r="A512" s="11">
        <v>13644.947660756248</v>
      </c>
      <c r="B512" s="20">
        <f t="shared" si="28"/>
        <v>300000</v>
      </c>
      <c r="C512" s="17">
        <f t="shared" si="29"/>
        <v>455146.33625293733</v>
      </c>
      <c r="G512" s="11">
        <v>4879.4824060792871</v>
      </c>
      <c r="H512" s="20">
        <f t="shared" si="30"/>
        <v>243974.12030396436</v>
      </c>
      <c r="I512" s="17">
        <f t="shared" si="31"/>
        <v>-158436.23157444992</v>
      </c>
    </row>
    <row r="513" spans="1:9" x14ac:dyDescent="0.35">
      <c r="A513" s="11">
        <v>14636.494033631398</v>
      </c>
      <c r="B513" s="20">
        <f t="shared" si="28"/>
        <v>300000</v>
      </c>
      <c r="C513" s="17">
        <f t="shared" si="29"/>
        <v>524554.58235419786</v>
      </c>
      <c r="G513" s="11">
        <v>5615.283669545579</v>
      </c>
      <c r="H513" s="20">
        <f t="shared" si="30"/>
        <v>280764.18347727897</v>
      </c>
      <c r="I513" s="17">
        <f t="shared" si="31"/>
        <v>-106930.14313180948</v>
      </c>
    </row>
    <row r="514" spans="1:9" x14ac:dyDescent="0.35">
      <c r="A514" s="11">
        <v>15899.655140842922</v>
      </c>
      <c r="B514" s="20">
        <f t="shared" si="28"/>
        <v>300000</v>
      </c>
      <c r="C514" s="17">
        <f t="shared" si="29"/>
        <v>550000</v>
      </c>
      <c r="G514" s="11">
        <v>3258.3391827143164</v>
      </c>
      <c r="H514" s="20">
        <f t="shared" si="30"/>
        <v>162916.95913571582</v>
      </c>
      <c r="I514" s="17">
        <f t="shared" si="31"/>
        <v>-271916.25720999786</v>
      </c>
    </row>
    <row r="515" spans="1:9" x14ac:dyDescent="0.35">
      <c r="A515" s="11">
        <v>15303.018280587175</v>
      </c>
      <c r="B515" s="20">
        <f t="shared" si="28"/>
        <v>300000</v>
      </c>
      <c r="C515" s="17">
        <f t="shared" si="29"/>
        <v>550000</v>
      </c>
      <c r="G515" s="11">
        <v>5814.4169438764611</v>
      </c>
      <c r="H515" s="20">
        <f t="shared" si="30"/>
        <v>290720.84719382308</v>
      </c>
      <c r="I515" s="17">
        <f t="shared" si="31"/>
        <v>-92990.813928647724</v>
      </c>
    </row>
    <row r="516" spans="1:9" x14ac:dyDescent="0.35">
      <c r="A516" s="11">
        <v>12297.555467390972</v>
      </c>
      <c r="B516" s="20">
        <f t="shared" si="28"/>
        <v>300000</v>
      </c>
      <c r="C516" s="17">
        <f t="shared" si="29"/>
        <v>360828.88271736808</v>
      </c>
      <c r="G516" s="11">
        <v>4080.2026429029206</v>
      </c>
      <c r="H516" s="20">
        <f t="shared" si="30"/>
        <v>204010.13214514602</v>
      </c>
      <c r="I516" s="17">
        <f t="shared" si="31"/>
        <v>-214385.81499679555</v>
      </c>
    </row>
    <row r="517" spans="1:9" x14ac:dyDescent="0.35">
      <c r="A517" s="11">
        <v>13851.86315500351</v>
      </c>
      <c r="B517" s="20">
        <f t="shared" si="28"/>
        <v>300000</v>
      </c>
      <c r="C517" s="17">
        <f t="shared" si="29"/>
        <v>469630.42085024563</v>
      </c>
      <c r="G517" s="11">
        <v>6811.1514633625293</v>
      </c>
      <c r="H517" s="20">
        <f t="shared" si="30"/>
        <v>300000</v>
      </c>
      <c r="I517" s="17">
        <f t="shared" si="31"/>
        <v>-23219.397564622923</v>
      </c>
    </row>
    <row r="518" spans="1:9" x14ac:dyDescent="0.35">
      <c r="A518" s="11">
        <v>14618.640705587939</v>
      </c>
      <c r="B518" s="20">
        <f t="shared" si="28"/>
        <v>300000</v>
      </c>
      <c r="C518" s="17">
        <f t="shared" si="29"/>
        <v>523304.84939115576</v>
      </c>
      <c r="G518" s="11">
        <v>7544.9690237128816</v>
      </c>
      <c r="H518" s="20">
        <f t="shared" si="30"/>
        <v>300000</v>
      </c>
      <c r="I518" s="17">
        <f t="shared" si="31"/>
        <v>28147.831659901654</v>
      </c>
    </row>
    <row r="519" spans="1:9" x14ac:dyDescent="0.35">
      <c r="A519" s="11">
        <v>14396.160771507919</v>
      </c>
      <c r="B519" s="20">
        <f t="shared" si="28"/>
        <v>300000</v>
      </c>
      <c r="C519" s="17">
        <f t="shared" si="29"/>
        <v>507731.25400555436</v>
      </c>
      <c r="G519" s="11">
        <v>6531.449324015015</v>
      </c>
      <c r="H519" s="20">
        <f t="shared" si="30"/>
        <v>300000</v>
      </c>
      <c r="I519" s="17">
        <f t="shared" si="31"/>
        <v>-42798.547318948957</v>
      </c>
    </row>
    <row r="520" spans="1:9" x14ac:dyDescent="0.35">
      <c r="A520" s="11">
        <v>16230.475783562732</v>
      </c>
      <c r="B520" s="20">
        <f t="shared" si="28"/>
        <v>300000</v>
      </c>
      <c r="C520" s="17">
        <f t="shared" si="29"/>
        <v>550000</v>
      </c>
      <c r="G520" s="11">
        <v>4609.0884121219515</v>
      </c>
      <c r="H520" s="20">
        <f t="shared" si="30"/>
        <v>230454.42060609758</v>
      </c>
      <c r="I520" s="17">
        <f t="shared" si="31"/>
        <v>-177363.81115146342</v>
      </c>
    </row>
    <row r="521" spans="1:9" x14ac:dyDescent="0.35">
      <c r="A521" s="11">
        <v>12527.665028839991</v>
      </c>
      <c r="B521" s="20">
        <f t="shared" si="28"/>
        <v>300000</v>
      </c>
      <c r="C521" s="17">
        <f t="shared" si="29"/>
        <v>376936.55201879935</v>
      </c>
      <c r="G521" s="11">
        <v>6961.149937437056</v>
      </c>
      <c r="H521" s="20">
        <f t="shared" si="30"/>
        <v>300000</v>
      </c>
      <c r="I521" s="17">
        <f t="shared" si="31"/>
        <v>-12719.504379406106</v>
      </c>
    </row>
    <row r="522" spans="1:9" x14ac:dyDescent="0.35">
      <c r="A522" s="11">
        <v>14834.559160130619</v>
      </c>
      <c r="B522" s="20">
        <f t="shared" si="28"/>
        <v>300000</v>
      </c>
      <c r="C522" s="17">
        <f t="shared" si="29"/>
        <v>538419.14120914333</v>
      </c>
      <c r="G522" s="11">
        <v>7559.6179082613598</v>
      </c>
      <c r="H522" s="20">
        <f t="shared" si="30"/>
        <v>300000</v>
      </c>
      <c r="I522" s="17">
        <f t="shared" si="31"/>
        <v>29173.253578295233</v>
      </c>
    </row>
    <row r="523" spans="1:9" x14ac:dyDescent="0.35">
      <c r="A523" s="11">
        <v>12020.752586443678</v>
      </c>
      <c r="B523" s="20">
        <f t="shared" si="28"/>
        <v>300000</v>
      </c>
      <c r="C523" s="17">
        <f t="shared" si="29"/>
        <v>341452.68105105741</v>
      </c>
      <c r="G523" s="11">
        <v>3071.2607196264535</v>
      </c>
      <c r="H523" s="20">
        <f t="shared" si="30"/>
        <v>153563.03598132267</v>
      </c>
      <c r="I523" s="17">
        <f t="shared" si="31"/>
        <v>-285011.74962614826</v>
      </c>
    </row>
    <row r="524" spans="1:9" x14ac:dyDescent="0.35">
      <c r="A524" s="11">
        <v>12533.921323282571</v>
      </c>
      <c r="B524" s="20">
        <f t="shared" si="28"/>
        <v>300000</v>
      </c>
      <c r="C524" s="17">
        <f t="shared" si="29"/>
        <v>377374.49262977997</v>
      </c>
      <c r="G524" s="11">
        <v>6301.4923551133761</v>
      </c>
      <c r="H524" s="20">
        <f t="shared" si="30"/>
        <v>300000</v>
      </c>
      <c r="I524" s="17">
        <f t="shared" si="31"/>
        <v>-58895.535142063687</v>
      </c>
    </row>
    <row r="525" spans="1:9" x14ac:dyDescent="0.35">
      <c r="A525" s="11">
        <v>14101.657155064546</v>
      </c>
      <c r="B525" s="20">
        <f t="shared" si="28"/>
        <v>300000</v>
      </c>
      <c r="C525" s="17">
        <f t="shared" si="29"/>
        <v>487116.00085451826</v>
      </c>
      <c r="G525" s="11">
        <v>4754.5091097750792</v>
      </c>
      <c r="H525" s="20">
        <f t="shared" si="30"/>
        <v>237725.45548875397</v>
      </c>
      <c r="I525" s="17">
        <f t="shared" si="31"/>
        <v>-167184.36231574445</v>
      </c>
    </row>
    <row r="526" spans="1:9" x14ac:dyDescent="0.35">
      <c r="A526" s="11">
        <v>14605.67033906064</v>
      </c>
      <c r="B526" s="20">
        <f t="shared" si="28"/>
        <v>300000</v>
      </c>
      <c r="C526" s="17">
        <f t="shared" si="29"/>
        <v>522396.92373424477</v>
      </c>
      <c r="G526" s="11">
        <v>5147.7401043733025</v>
      </c>
      <c r="H526" s="20">
        <f t="shared" si="30"/>
        <v>257387.00521866512</v>
      </c>
      <c r="I526" s="17">
        <f t="shared" si="31"/>
        <v>-139658.19269386883</v>
      </c>
    </row>
    <row r="527" spans="1:9" x14ac:dyDescent="0.35">
      <c r="A527" s="11">
        <v>16386.883144627216</v>
      </c>
      <c r="B527" s="20">
        <f t="shared" si="28"/>
        <v>300000</v>
      </c>
      <c r="C527" s="17">
        <f t="shared" si="29"/>
        <v>550000</v>
      </c>
      <c r="G527" s="11">
        <v>3661.030915250099</v>
      </c>
      <c r="H527" s="20">
        <f t="shared" si="30"/>
        <v>183051.54576250495</v>
      </c>
      <c r="I527" s="17">
        <f t="shared" si="31"/>
        <v>-243727.83593249306</v>
      </c>
    </row>
    <row r="528" spans="1:9" x14ac:dyDescent="0.35">
      <c r="A528" s="11">
        <v>16923.245948667867</v>
      </c>
      <c r="B528" s="20">
        <f t="shared" si="28"/>
        <v>300000</v>
      </c>
      <c r="C528" s="17">
        <f t="shared" si="29"/>
        <v>550000</v>
      </c>
      <c r="G528" s="11">
        <v>5689.7488326670127</v>
      </c>
      <c r="H528" s="20">
        <f t="shared" si="30"/>
        <v>284487.44163335062</v>
      </c>
      <c r="I528" s="17">
        <f t="shared" si="31"/>
        <v>-101717.5817133091</v>
      </c>
    </row>
    <row r="529" spans="1:9" x14ac:dyDescent="0.35">
      <c r="A529" s="11">
        <v>12896.633808404798</v>
      </c>
      <c r="B529" s="20">
        <f t="shared" si="28"/>
        <v>300000</v>
      </c>
      <c r="C529" s="17">
        <f t="shared" si="29"/>
        <v>402764.36658833583</v>
      </c>
      <c r="G529" s="11">
        <v>4454.2069765312663</v>
      </c>
      <c r="H529" s="20">
        <f t="shared" si="30"/>
        <v>222710.34882656331</v>
      </c>
      <c r="I529" s="17">
        <f t="shared" si="31"/>
        <v>-188205.51164281135</v>
      </c>
    </row>
    <row r="530" spans="1:9" x14ac:dyDescent="0.35">
      <c r="A530" s="11">
        <v>14061.067537461469</v>
      </c>
      <c r="B530" s="20">
        <f t="shared" si="28"/>
        <v>300000</v>
      </c>
      <c r="C530" s="17">
        <f t="shared" si="29"/>
        <v>484274.72762230283</v>
      </c>
      <c r="G530" s="11">
        <v>3441.2976470229196</v>
      </c>
      <c r="H530" s="20">
        <f t="shared" si="30"/>
        <v>172064.88235114599</v>
      </c>
      <c r="I530" s="17">
        <f t="shared" si="31"/>
        <v>-259109.16470839563</v>
      </c>
    </row>
    <row r="531" spans="1:9" x14ac:dyDescent="0.35">
      <c r="A531" s="11">
        <v>15312.631611072116</v>
      </c>
      <c r="B531" s="20">
        <f t="shared" si="28"/>
        <v>300000</v>
      </c>
      <c r="C531" s="17">
        <f t="shared" si="29"/>
        <v>550000</v>
      </c>
      <c r="G531" s="11">
        <v>3643.4827723014009</v>
      </c>
      <c r="H531" s="20">
        <f t="shared" si="30"/>
        <v>182174.13861507006</v>
      </c>
      <c r="I531" s="17">
        <f t="shared" si="31"/>
        <v>-244956.20593890193</v>
      </c>
    </row>
    <row r="532" spans="1:9" x14ac:dyDescent="0.35">
      <c r="A532" s="11">
        <v>13825.312051759392</v>
      </c>
      <c r="B532" s="20">
        <f t="shared" si="28"/>
        <v>300000</v>
      </c>
      <c r="C532" s="17">
        <f t="shared" si="29"/>
        <v>467771.84362315747</v>
      </c>
      <c r="G532" s="11">
        <v>5029.6334727011936</v>
      </c>
      <c r="H532" s="20">
        <f t="shared" si="30"/>
        <v>251481.67363505968</v>
      </c>
      <c r="I532" s="17">
        <f t="shared" si="31"/>
        <v>-147925.65691091644</v>
      </c>
    </row>
    <row r="533" spans="1:9" x14ac:dyDescent="0.35">
      <c r="A533" s="11">
        <v>14480.849635303812</v>
      </c>
      <c r="B533" s="20">
        <f t="shared" si="28"/>
        <v>300000</v>
      </c>
      <c r="C533" s="17">
        <f t="shared" si="29"/>
        <v>513659.47447126685</v>
      </c>
      <c r="G533" s="11">
        <v>6942.0758690145576</v>
      </c>
      <c r="H533" s="20">
        <f t="shared" si="30"/>
        <v>300000</v>
      </c>
      <c r="I533" s="17">
        <f t="shared" si="31"/>
        <v>-14054.689168980985</v>
      </c>
    </row>
    <row r="534" spans="1:9" x14ac:dyDescent="0.35">
      <c r="A534" s="11">
        <v>12446.790978728599</v>
      </c>
      <c r="B534" s="20">
        <f t="shared" si="28"/>
        <v>300000</v>
      </c>
      <c r="C534" s="17">
        <f t="shared" si="29"/>
        <v>371275.36851100193</v>
      </c>
      <c r="G534" s="11">
        <v>4347.8499710074157</v>
      </c>
      <c r="H534" s="20">
        <f t="shared" si="30"/>
        <v>217392.49855037077</v>
      </c>
      <c r="I534" s="17">
        <f t="shared" si="31"/>
        <v>-195650.50202948088</v>
      </c>
    </row>
    <row r="535" spans="1:9" x14ac:dyDescent="0.35">
      <c r="A535" s="11">
        <v>15711.508529923398</v>
      </c>
      <c r="B535" s="20">
        <f t="shared" si="28"/>
        <v>300000</v>
      </c>
      <c r="C535" s="17">
        <f t="shared" si="29"/>
        <v>550000</v>
      </c>
      <c r="G535" s="11">
        <v>6136.6924039429923</v>
      </c>
      <c r="H535" s="20">
        <f t="shared" si="30"/>
        <v>300000</v>
      </c>
      <c r="I535" s="17">
        <f t="shared" si="31"/>
        <v>-70431.531723990513</v>
      </c>
    </row>
    <row r="536" spans="1:9" x14ac:dyDescent="0.35">
      <c r="A536" s="11">
        <v>16049.043244727927</v>
      </c>
      <c r="B536" s="20">
        <f t="shared" si="28"/>
        <v>300000</v>
      </c>
      <c r="C536" s="17">
        <f t="shared" si="29"/>
        <v>550000</v>
      </c>
      <c r="G536" s="11">
        <v>5945.7991271706287</v>
      </c>
      <c r="H536" s="20">
        <f t="shared" si="30"/>
        <v>297289.95635853143</v>
      </c>
      <c r="I536" s="17">
        <f t="shared" si="31"/>
        <v>-83794.061098055972</v>
      </c>
    </row>
    <row r="537" spans="1:9" x14ac:dyDescent="0.35">
      <c r="A537" s="11">
        <v>12286.111026337474</v>
      </c>
      <c r="B537" s="20">
        <f t="shared" si="28"/>
        <v>300000</v>
      </c>
      <c r="C537" s="17">
        <f t="shared" si="29"/>
        <v>360027.77184362314</v>
      </c>
      <c r="G537" s="11">
        <v>6907.2847682119209</v>
      </c>
      <c r="H537" s="20">
        <f t="shared" si="30"/>
        <v>300000</v>
      </c>
      <c r="I537" s="17">
        <f t="shared" si="31"/>
        <v>-16490.066225165559</v>
      </c>
    </row>
    <row r="538" spans="1:9" x14ac:dyDescent="0.35">
      <c r="A538" s="11">
        <v>16393.139439069797</v>
      </c>
      <c r="B538" s="20">
        <f t="shared" si="28"/>
        <v>300000</v>
      </c>
      <c r="C538" s="17">
        <f t="shared" si="29"/>
        <v>550000</v>
      </c>
      <c r="G538" s="11">
        <v>7610.583819086276</v>
      </c>
      <c r="H538" s="20">
        <f t="shared" si="30"/>
        <v>300000</v>
      </c>
      <c r="I538" s="17">
        <f t="shared" si="31"/>
        <v>32740.867336039315</v>
      </c>
    </row>
    <row r="539" spans="1:9" x14ac:dyDescent="0.35">
      <c r="A539" s="11">
        <v>14413.556321909238</v>
      </c>
      <c r="B539" s="20">
        <f t="shared" si="28"/>
        <v>300000</v>
      </c>
      <c r="C539" s="17">
        <f t="shared" si="29"/>
        <v>508948.94253364671</v>
      </c>
      <c r="G539" s="11">
        <v>7977.2637104403821</v>
      </c>
      <c r="H539" s="20">
        <f t="shared" si="30"/>
        <v>300000</v>
      </c>
      <c r="I539" s="17">
        <f t="shared" si="31"/>
        <v>58408.459730826784</v>
      </c>
    </row>
    <row r="540" spans="1:9" x14ac:dyDescent="0.35">
      <c r="A540" s="11">
        <v>15439.130832850124</v>
      </c>
      <c r="B540" s="20">
        <f t="shared" si="28"/>
        <v>300000</v>
      </c>
      <c r="C540" s="17">
        <f t="shared" si="29"/>
        <v>550000</v>
      </c>
      <c r="G540" s="11">
        <v>7227.7291177098905</v>
      </c>
      <c r="H540" s="20">
        <f t="shared" si="30"/>
        <v>300000</v>
      </c>
      <c r="I540" s="17">
        <f t="shared" si="31"/>
        <v>5941.0382396923378</v>
      </c>
    </row>
    <row r="541" spans="1:9" x14ac:dyDescent="0.35">
      <c r="A541" s="11">
        <v>16268.929105502488</v>
      </c>
      <c r="B541" s="20">
        <f t="shared" si="28"/>
        <v>300000</v>
      </c>
      <c r="C541" s="17">
        <f t="shared" si="29"/>
        <v>550000</v>
      </c>
      <c r="G541" s="11">
        <v>7583.1171605578784</v>
      </c>
      <c r="H541" s="20">
        <f t="shared" si="30"/>
        <v>300000</v>
      </c>
      <c r="I541" s="17">
        <f t="shared" si="31"/>
        <v>30818.20123905153</v>
      </c>
    </row>
    <row r="542" spans="1:9" x14ac:dyDescent="0.35">
      <c r="A542" s="11">
        <v>12058.290353099155</v>
      </c>
      <c r="B542" s="20">
        <f t="shared" si="28"/>
        <v>300000</v>
      </c>
      <c r="C542" s="17">
        <f t="shared" si="29"/>
        <v>344080.32471694087</v>
      </c>
      <c r="G542" s="11">
        <v>7223.3039338358712</v>
      </c>
      <c r="H542" s="20">
        <f t="shared" si="30"/>
        <v>300000</v>
      </c>
      <c r="I542" s="17">
        <f t="shared" si="31"/>
        <v>5631.2753685109783</v>
      </c>
    </row>
    <row r="543" spans="1:9" x14ac:dyDescent="0.35">
      <c r="A543" s="11">
        <v>12359.813226722006</v>
      </c>
      <c r="B543" s="20">
        <f t="shared" si="28"/>
        <v>300000</v>
      </c>
      <c r="C543" s="17">
        <f t="shared" si="29"/>
        <v>365186.92587054044</v>
      </c>
      <c r="G543" s="11">
        <v>3602.4353770561847</v>
      </c>
      <c r="H543" s="20">
        <f t="shared" si="30"/>
        <v>180121.76885280924</v>
      </c>
      <c r="I543" s="17">
        <f t="shared" si="31"/>
        <v>-247829.52360606706</v>
      </c>
    </row>
    <row r="544" spans="1:9" x14ac:dyDescent="0.35">
      <c r="A544" s="11">
        <v>13423.84105960265</v>
      </c>
      <c r="B544" s="20">
        <f t="shared" si="28"/>
        <v>300000</v>
      </c>
      <c r="C544" s="17">
        <f t="shared" si="29"/>
        <v>439668.87417218543</v>
      </c>
      <c r="G544" s="11">
        <v>3807.3671681875057</v>
      </c>
      <c r="H544" s="20">
        <f t="shared" si="30"/>
        <v>190368.3584093753</v>
      </c>
      <c r="I544" s="17">
        <f t="shared" si="31"/>
        <v>-233484.29822687461</v>
      </c>
    </row>
    <row r="545" spans="1:9" x14ac:dyDescent="0.35">
      <c r="A545" s="11">
        <v>16892.574846644489</v>
      </c>
      <c r="B545" s="20">
        <f t="shared" si="28"/>
        <v>300000</v>
      </c>
      <c r="C545" s="17">
        <f t="shared" si="29"/>
        <v>550000</v>
      </c>
      <c r="G545" s="11">
        <v>6939.4817957090982</v>
      </c>
      <c r="H545" s="20">
        <f t="shared" si="30"/>
        <v>300000</v>
      </c>
      <c r="I545" s="17">
        <f t="shared" si="31"/>
        <v>-14236.274300363148</v>
      </c>
    </row>
    <row r="546" spans="1:9" x14ac:dyDescent="0.35">
      <c r="A546" s="11">
        <v>16307.229834894864</v>
      </c>
      <c r="B546" s="20">
        <f t="shared" ref="B546:B609" si="32">50*MIN(6000,A546)</f>
        <v>300000</v>
      </c>
      <c r="C546" s="17">
        <f t="shared" ref="C546:C609" si="33">70*MIN(15000,A546)-500000</f>
        <v>550000</v>
      </c>
      <c r="G546" s="11">
        <v>3478.530228583636</v>
      </c>
      <c r="H546" s="20">
        <f t="shared" ref="H546:H609" si="34">50*MIN(6000,G546)</f>
        <v>173926.51142918179</v>
      </c>
      <c r="I546" s="17">
        <f t="shared" ref="I546:I609" si="35">70*MIN(15000,G546)-500000</f>
        <v>-256502.88399914547</v>
      </c>
    </row>
    <row r="547" spans="1:9" x14ac:dyDescent="0.35">
      <c r="A547" s="11">
        <v>16694.051942503127</v>
      </c>
      <c r="B547" s="20">
        <f t="shared" si="32"/>
        <v>300000</v>
      </c>
      <c r="C547" s="17">
        <f t="shared" si="33"/>
        <v>550000</v>
      </c>
      <c r="G547" s="11">
        <v>7029.2062135685292</v>
      </c>
      <c r="H547" s="20">
        <f t="shared" si="34"/>
        <v>300000</v>
      </c>
      <c r="I547" s="17">
        <f t="shared" si="35"/>
        <v>-7955.5650502029457</v>
      </c>
    </row>
    <row r="548" spans="1:9" x14ac:dyDescent="0.35">
      <c r="A548" s="11">
        <v>12861.69011505478</v>
      </c>
      <c r="B548" s="20">
        <f t="shared" si="32"/>
        <v>300000</v>
      </c>
      <c r="C548" s="17">
        <f t="shared" si="33"/>
        <v>400318.3080538346</v>
      </c>
      <c r="G548" s="11">
        <v>6450.4226813562427</v>
      </c>
      <c r="H548" s="20">
        <f t="shared" si="34"/>
        <v>300000</v>
      </c>
      <c r="I548" s="17">
        <f t="shared" si="35"/>
        <v>-48470.412305062986</v>
      </c>
    </row>
    <row r="549" spans="1:9" x14ac:dyDescent="0.35">
      <c r="A549" s="11">
        <v>15213.446455275125</v>
      </c>
      <c r="B549" s="20">
        <f t="shared" si="32"/>
        <v>300000</v>
      </c>
      <c r="C549" s="17">
        <f t="shared" si="33"/>
        <v>550000</v>
      </c>
      <c r="G549" s="11">
        <v>6735.3129673146759</v>
      </c>
      <c r="H549" s="20">
        <f t="shared" si="34"/>
        <v>300000</v>
      </c>
      <c r="I549" s="17">
        <f t="shared" si="35"/>
        <v>-28528.092287972686</v>
      </c>
    </row>
    <row r="550" spans="1:9" x14ac:dyDescent="0.35">
      <c r="A550" s="11">
        <v>14576.372569963683</v>
      </c>
      <c r="B550" s="20">
        <f t="shared" si="32"/>
        <v>300000</v>
      </c>
      <c r="C550" s="17">
        <f t="shared" si="33"/>
        <v>520346.07989745785</v>
      </c>
      <c r="G550" s="11">
        <v>6433.790093691824</v>
      </c>
      <c r="H550" s="20">
        <f t="shared" si="34"/>
        <v>300000</v>
      </c>
      <c r="I550" s="17">
        <f t="shared" si="35"/>
        <v>-49634.693441572308</v>
      </c>
    </row>
    <row r="551" spans="1:9" x14ac:dyDescent="0.35">
      <c r="A551" s="11">
        <v>12787.224951933347</v>
      </c>
      <c r="B551" s="20">
        <f t="shared" si="32"/>
        <v>300000</v>
      </c>
      <c r="C551" s="17">
        <f t="shared" si="33"/>
        <v>395105.74663533433</v>
      </c>
      <c r="G551" s="11">
        <v>4582.8424939725946</v>
      </c>
      <c r="H551" s="20">
        <f t="shared" si="34"/>
        <v>229142.12469862972</v>
      </c>
      <c r="I551" s="17">
        <f t="shared" si="35"/>
        <v>-179201.02542191837</v>
      </c>
    </row>
    <row r="552" spans="1:9" x14ac:dyDescent="0.35">
      <c r="A552" s="11">
        <v>15092.287972655415</v>
      </c>
      <c r="B552" s="20">
        <f t="shared" si="32"/>
        <v>300000</v>
      </c>
      <c r="C552" s="17">
        <f t="shared" si="33"/>
        <v>550000</v>
      </c>
      <c r="G552" s="11">
        <v>4189.9166844691308</v>
      </c>
      <c r="H552" s="20">
        <f t="shared" si="34"/>
        <v>209495.83422345654</v>
      </c>
      <c r="I552" s="17">
        <f t="shared" si="35"/>
        <v>-206705.83208716084</v>
      </c>
    </row>
    <row r="553" spans="1:9" x14ac:dyDescent="0.35">
      <c r="A553" s="11">
        <v>12351.420636616107</v>
      </c>
      <c r="B553" s="20">
        <f t="shared" si="32"/>
        <v>300000</v>
      </c>
      <c r="C553" s="17">
        <f t="shared" si="33"/>
        <v>364599.44456312747</v>
      </c>
      <c r="G553" s="11">
        <v>3340.2813806573686</v>
      </c>
      <c r="H553" s="20">
        <f t="shared" si="34"/>
        <v>167014.06903286843</v>
      </c>
      <c r="I553" s="17">
        <f t="shared" si="35"/>
        <v>-266180.3033539842</v>
      </c>
    </row>
    <row r="554" spans="1:9" x14ac:dyDescent="0.35">
      <c r="A554" s="11">
        <v>15588.061159092991</v>
      </c>
      <c r="B554" s="20">
        <f t="shared" si="32"/>
        <v>300000</v>
      </c>
      <c r="C554" s="17">
        <f t="shared" si="33"/>
        <v>550000</v>
      </c>
      <c r="G554" s="11">
        <v>4071.9626453444016</v>
      </c>
      <c r="H554" s="20">
        <f t="shared" si="34"/>
        <v>203598.13226722009</v>
      </c>
      <c r="I554" s="17">
        <f t="shared" si="35"/>
        <v>-214962.61482589191</v>
      </c>
    </row>
    <row r="555" spans="1:9" x14ac:dyDescent="0.35">
      <c r="A555" s="11">
        <v>15726.157414471878</v>
      </c>
      <c r="B555" s="20">
        <f t="shared" si="32"/>
        <v>300000</v>
      </c>
      <c r="C555" s="17">
        <f t="shared" si="33"/>
        <v>550000</v>
      </c>
      <c r="G555" s="11">
        <v>3536.6679891354106</v>
      </c>
      <c r="H555" s="20">
        <f t="shared" si="34"/>
        <v>176833.39945677054</v>
      </c>
      <c r="I555" s="17">
        <f t="shared" si="35"/>
        <v>-252433.24076052126</v>
      </c>
    </row>
    <row r="556" spans="1:9" x14ac:dyDescent="0.35">
      <c r="A556" s="11">
        <v>13599.322489089633</v>
      </c>
      <c r="B556" s="20">
        <f t="shared" si="32"/>
        <v>300000</v>
      </c>
      <c r="C556" s="17">
        <f t="shared" si="33"/>
        <v>451952.57423627423</v>
      </c>
      <c r="G556" s="11">
        <v>4037.0189519943842</v>
      </c>
      <c r="H556" s="20">
        <f t="shared" si="34"/>
        <v>201850.94759971922</v>
      </c>
      <c r="I556" s="17">
        <f t="shared" si="35"/>
        <v>-217408.67336039309</v>
      </c>
    </row>
    <row r="557" spans="1:9" x14ac:dyDescent="0.35">
      <c r="A557" s="11">
        <v>14127.903073213904</v>
      </c>
      <c r="B557" s="20">
        <f t="shared" si="32"/>
        <v>300000</v>
      </c>
      <c r="C557" s="17">
        <f t="shared" si="33"/>
        <v>488953.21512497321</v>
      </c>
      <c r="G557" s="11">
        <v>6729.3618579668564</v>
      </c>
      <c r="H557" s="20">
        <f t="shared" si="34"/>
        <v>300000</v>
      </c>
      <c r="I557" s="17">
        <f t="shared" si="35"/>
        <v>-28944.669942320033</v>
      </c>
    </row>
    <row r="558" spans="1:9" x14ac:dyDescent="0.35">
      <c r="A558" s="11">
        <v>15563.646351512192</v>
      </c>
      <c r="B558" s="20">
        <f t="shared" si="32"/>
        <v>300000</v>
      </c>
      <c r="C558" s="17">
        <f t="shared" si="33"/>
        <v>550000</v>
      </c>
      <c r="G558" s="11">
        <v>5943.8154240546892</v>
      </c>
      <c r="H558" s="20">
        <f t="shared" si="34"/>
        <v>297190.77120273444</v>
      </c>
      <c r="I558" s="17">
        <f t="shared" si="35"/>
        <v>-83932.920316171774</v>
      </c>
    </row>
    <row r="559" spans="1:9" x14ac:dyDescent="0.35">
      <c r="A559" s="11">
        <v>13293.221839045382</v>
      </c>
      <c r="B559" s="20">
        <f t="shared" si="32"/>
        <v>300000</v>
      </c>
      <c r="C559" s="17">
        <f t="shared" si="33"/>
        <v>430525.52873317676</v>
      </c>
      <c r="G559" s="11">
        <v>4314.127018036439</v>
      </c>
      <c r="H559" s="20">
        <f t="shared" si="34"/>
        <v>215706.35090182195</v>
      </c>
      <c r="I559" s="17">
        <f t="shared" si="35"/>
        <v>-198011.10873744928</v>
      </c>
    </row>
    <row r="560" spans="1:9" x14ac:dyDescent="0.35">
      <c r="A560" s="11">
        <v>13190.83223975341</v>
      </c>
      <c r="B560" s="20">
        <f t="shared" si="32"/>
        <v>300000</v>
      </c>
      <c r="C560" s="17">
        <f t="shared" si="33"/>
        <v>423358.25678273872</v>
      </c>
      <c r="G560" s="11">
        <v>4997.4364452040163</v>
      </c>
      <c r="H560" s="20">
        <f t="shared" si="34"/>
        <v>249871.8222602008</v>
      </c>
      <c r="I560" s="17">
        <f t="shared" si="35"/>
        <v>-150179.44883571885</v>
      </c>
    </row>
    <row r="561" spans="1:9" x14ac:dyDescent="0.35">
      <c r="A561" s="11">
        <v>14148.045289468062</v>
      </c>
      <c r="B561" s="20">
        <f t="shared" si="32"/>
        <v>300000</v>
      </c>
      <c r="C561" s="17">
        <f t="shared" si="33"/>
        <v>490363.17026276432</v>
      </c>
      <c r="G561" s="11">
        <v>6557.542649616993</v>
      </c>
      <c r="H561" s="20">
        <f t="shared" si="34"/>
        <v>300000</v>
      </c>
      <c r="I561" s="17">
        <f t="shared" si="35"/>
        <v>-40972.014526810497</v>
      </c>
    </row>
    <row r="562" spans="1:9" x14ac:dyDescent="0.35">
      <c r="A562" s="11">
        <v>12097.201452681051</v>
      </c>
      <c r="B562" s="20">
        <f t="shared" si="32"/>
        <v>300000</v>
      </c>
      <c r="C562" s="17">
        <f t="shared" si="33"/>
        <v>346804.1016876736</v>
      </c>
      <c r="G562" s="11">
        <v>5567.0644245735039</v>
      </c>
      <c r="H562" s="20">
        <f t="shared" si="34"/>
        <v>278353.22122867522</v>
      </c>
      <c r="I562" s="17">
        <f t="shared" si="35"/>
        <v>-110305.49027985474</v>
      </c>
    </row>
    <row r="563" spans="1:9" x14ac:dyDescent="0.35">
      <c r="A563" s="11">
        <v>14975.096896267587</v>
      </c>
      <c r="B563" s="20">
        <f t="shared" si="32"/>
        <v>300000</v>
      </c>
      <c r="C563" s="17">
        <f t="shared" si="33"/>
        <v>548256.78273873113</v>
      </c>
      <c r="G563" s="11">
        <v>6412.2745445112469</v>
      </c>
      <c r="H563" s="20">
        <f t="shared" si="34"/>
        <v>300000</v>
      </c>
      <c r="I563" s="17">
        <f t="shared" si="35"/>
        <v>-51140.781884212745</v>
      </c>
    </row>
    <row r="564" spans="1:9" x14ac:dyDescent="0.35">
      <c r="A564" s="11">
        <v>16103.671376689963</v>
      </c>
      <c r="B564" s="20">
        <f t="shared" si="32"/>
        <v>300000</v>
      </c>
      <c r="C564" s="17">
        <f t="shared" si="33"/>
        <v>550000</v>
      </c>
      <c r="G564" s="11">
        <v>5926.4198736533708</v>
      </c>
      <c r="H564" s="20">
        <f t="shared" si="34"/>
        <v>296320.99368266854</v>
      </c>
      <c r="I564" s="17">
        <f t="shared" si="35"/>
        <v>-85150.608844264061</v>
      </c>
    </row>
    <row r="565" spans="1:9" x14ac:dyDescent="0.35">
      <c r="A565" s="11">
        <v>16114.810632648701</v>
      </c>
      <c r="B565" s="20">
        <f t="shared" si="32"/>
        <v>300000</v>
      </c>
      <c r="C565" s="17">
        <f t="shared" si="33"/>
        <v>550000</v>
      </c>
      <c r="G565" s="11">
        <v>6720.8166753135774</v>
      </c>
      <c r="H565" s="20">
        <f t="shared" si="34"/>
        <v>300000</v>
      </c>
      <c r="I565" s="17">
        <f t="shared" si="35"/>
        <v>-29542.832728049601</v>
      </c>
    </row>
    <row r="566" spans="1:9" x14ac:dyDescent="0.35">
      <c r="A566" s="11">
        <v>15342.081972716453</v>
      </c>
      <c r="B566" s="20">
        <f t="shared" si="32"/>
        <v>300000</v>
      </c>
      <c r="C566" s="17">
        <f t="shared" si="33"/>
        <v>550000</v>
      </c>
      <c r="G566" s="11">
        <v>7369.335001678518</v>
      </c>
      <c r="H566" s="20">
        <f t="shared" si="34"/>
        <v>300000</v>
      </c>
      <c r="I566" s="17">
        <f t="shared" si="35"/>
        <v>15853.45011749625</v>
      </c>
    </row>
    <row r="567" spans="1:9" x14ac:dyDescent="0.35">
      <c r="A567" s="11">
        <v>14025.360881374554</v>
      </c>
      <c r="B567" s="20">
        <f t="shared" si="32"/>
        <v>300000</v>
      </c>
      <c r="C567" s="17">
        <f t="shared" si="33"/>
        <v>481775.26169621875</v>
      </c>
      <c r="G567" s="11">
        <v>5701.9562364574113</v>
      </c>
      <c r="H567" s="20">
        <f t="shared" si="34"/>
        <v>285097.81182287057</v>
      </c>
      <c r="I567" s="17">
        <f t="shared" si="35"/>
        <v>-100863.0634479812</v>
      </c>
    </row>
    <row r="568" spans="1:9" x14ac:dyDescent="0.35">
      <c r="A568" s="11">
        <v>13936.552018799403</v>
      </c>
      <c r="B568" s="20">
        <f t="shared" si="32"/>
        <v>300000</v>
      </c>
      <c r="C568" s="17">
        <f t="shared" si="33"/>
        <v>475558.64131595823</v>
      </c>
      <c r="G568" s="11">
        <v>4252.0218512527845</v>
      </c>
      <c r="H568" s="20">
        <f t="shared" si="34"/>
        <v>212601.09256263921</v>
      </c>
      <c r="I568" s="17">
        <f t="shared" si="35"/>
        <v>-202358.47041230509</v>
      </c>
    </row>
    <row r="569" spans="1:9" x14ac:dyDescent="0.35">
      <c r="A569" s="11">
        <v>13651.203955198827</v>
      </c>
      <c r="B569" s="20">
        <f t="shared" si="32"/>
        <v>300000</v>
      </c>
      <c r="C569" s="17">
        <f t="shared" si="33"/>
        <v>455584.27686391794</v>
      </c>
      <c r="G569" s="11">
        <v>7310.4342783898437</v>
      </c>
      <c r="H569" s="20">
        <f t="shared" si="34"/>
        <v>300000</v>
      </c>
      <c r="I569" s="17">
        <f t="shared" si="35"/>
        <v>11730.399487289076</v>
      </c>
    </row>
    <row r="570" spans="1:9" x14ac:dyDescent="0.35">
      <c r="A570" s="11">
        <v>16668.721579638051</v>
      </c>
      <c r="B570" s="20">
        <f t="shared" si="32"/>
        <v>300000</v>
      </c>
      <c r="C570" s="17">
        <f t="shared" si="33"/>
        <v>550000</v>
      </c>
      <c r="G570" s="11">
        <v>6450.4226813562427</v>
      </c>
      <c r="H570" s="20">
        <f t="shared" si="34"/>
        <v>300000</v>
      </c>
      <c r="I570" s="17">
        <f t="shared" si="35"/>
        <v>-48470.412305062986</v>
      </c>
    </row>
    <row r="571" spans="1:9" x14ac:dyDescent="0.35">
      <c r="A571" s="11">
        <v>12116.122928556169</v>
      </c>
      <c r="B571" s="20">
        <f t="shared" si="32"/>
        <v>300000</v>
      </c>
      <c r="C571" s="17">
        <f t="shared" si="33"/>
        <v>348128.60499893187</v>
      </c>
      <c r="G571" s="11">
        <v>3262.1539963988157</v>
      </c>
      <c r="H571" s="20">
        <f t="shared" si="34"/>
        <v>163107.69981994078</v>
      </c>
      <c r="I571" s="17">
        <f t="shared" si="35"/>
        <v>-271649.22025208292</v>
      </c>
    </row>
    <row r="572" spans="1:9" x14ac:dyDescent="0.35">
      <c r="A572" s="11">
        <v>16822.229682302317</v>
      </c>
      <c r="B572" s="20">
        <f t="shared" si="32"/>
        <v>300000</v>
      </c>
      <c r="C572" s="17">
        <f t="shared" si="33"/>
        <v>550000</v>
      </c>
      <c r="G572" s="11">
        <v>5099.5208594012274</v>
      </c>
      <c r="H572" s="20">
        <f t="shared" si="34"/>
        <v>254976.04297006136</v>
      </c>
      <c r="I572" s="17">
        <f t="shared" si="35"/>
        <v>-143033.53984191408</v>
      </c>
    </row>
    <row r="573" spans="1:9" x14ac:dyDescent="0.35">
      <c r="A573" s="11">
        <v>13412.854396191291</v>
      </c>
      <c r="B573" s="20">
        <f t="shared" si="32"/>
        <v>300000</v>
      </c>
      <c r="C573" s="17">
        <f t="shared" si="33"/>
        <v>438899.80773339036</v>
      </c>
      <c r="G573" s="11">
        <v>5364.8792992950221</v>
      </c>
      <c r="H573" s="20">
        <f t="shared" si="34"/>
        <v>268243.9649647511</v>
      </c>
      <c r="I573" s="17">
        <f t="shared" si="35"/>
        <v>-124458.44904934848</v>
      </c>
    </row>
    <row r="574" spans="1:9" x14ac:dyDescent="0.35">
      <c r="A574" s="11">
        <v>12449.385052034058</v>
      </c>
      <c r="B574" s="20">
        <f t="shared" si="32"/>
        <v>300000</v>
      </c>
      <c r="C574" s="17">
        <f t="shared" si="33"/>
        <v>371456.95364238403</v>
      </c>
      <c r="G574" s="11">
        <v>6951.0788293099758</v>
      </c>
      <c r="H574" s="20">
        <f t="shared" si="34"/>
        <v>300000</v>
      </c>
      <c r="I574" s="17">
        <f t="shared" si="35"/>
        <v>-13424.481948301662</v>
      </c>
    </row>
    <row r="575" spans="1:9" x14ac:dyDescent="0.35">
      <c r="A575" s="11">
        <v>13608.783227027192</v>
      </c>
      <c r="B575" s="20">
        <f t="shared" si="32"/>
        <v>300000</v>
      </c>
      <c r="C575" s="17">
        <f t="shared" si="33"/>
        <v>452614.82589190349</v>
      </c>
      <c r="G575" s="11">
        <v>3402.5391399884029</v>
      </c>
      <c r="H575" s="20">
        <f t="shared" si="34"/>
        <v>170126.95699942013</v>
      </c>
      <c r="I575" s="17">
        <f t="shared" si="35"/>
        <v>-261822.26020081178</v>
      </c>
    </row>
    <row r="576" spans="1:9" x14ac:dyDescent="0.35">
      <c r="A576" s="11">
        <v>13739.24985503708</v>
      </c>
      <c r="B576" s="20">
        <f t="shared" si="32"/>
        <v>300000</v>
      </c>
      <c r="C576" s="17">
        <f t="shared" si="33"/>
        <v>461747.48985259561</v>
      </c>
      <c r="G576" s="11">
        <v>7847.2548600726341</v>
      </c>
      <c r="H576" s="20">
        <f t="shared" si="34"/>
        <v>300000</v>
      </c>
      <c r="I576" s="17">
        <f t="shared" si="35"/>
        <v>49307.840205084416</v>
      </c>
    </row>
    <row r="577" spans="1:9" x14ac:dyDescent="0.35">
      <c r="A577" s="11">
        <v>14774.895474105044</v>
      </c>
      <c r="B577" s="20">
        <f t="shared" si="32"/>
        <v>300000</v>
      </c>
      <c r="C577" s="17">
        <f t="shared" si="33"/>
        <v>534242.68318735308</v>
      </c>
      <c r="G577" s="11">
        <v>3328.07397686697</v>
      </c>
      <c r="H577" s="20">
        <f t="shared" si="34"/>
        <v>166403.69884334851</v>
      </c>
      <c r="I577" s="17">
        <f t="shared" si="35"/>
        <v>-267034.8216193121</v>
      </c>
    </row>
    <row r="578" spans="1:9" x14ac:dyDescent="0.35">
      <c r="A578" s="11">
        <v>13126.895962401197</v>
      </c>
      <c r="B578" s="20">
        <f t="shared" si="32"/>
        <v>300000</v>
      </c>
      <c r="C578" s="17">
        <f t="shared" si="33"/>
        <v>418882.71736808377</v>
      </c>
      <c r="G578" s="11">
        <v>7304.025391399884</v>
      </c>
      <c r="H578" s="20">
        <f t="shared" si="34"/>
        <v>300000</v>
      </c>
      <c r="I578" s="17">
        <f t="shared" si="35"/>
        <v>11281.777397991857</v>
      </c>
    </row>
    <row r="579" spans="1:9" x14ac:dyDescent="0.35">
      <c r="A579" s="11">
        <v>13975.157933286539</v>
      </c>
      <c r="B579" s="20">
        <f t="shared" si="32"/>
        <v>300000</v>
      </c>
      <c r="C579" s="17">
        <f t="shared" si="33"/>
        <v>478261.05533005774</v>
      </c>
      <c r="G579" s="11">
        <v>6032.3191015350803</v>
      </c>
      <c r="H579" s="20">
        <f t="shared" si="34"/>
        <v>300000</v>
      </c>
      <c r="I579" s="17">
        <f t="shared" si="35"/>
        <v>-77737.662892544351</v>
      </c>
    </row>
    <row r="580" spans="1:9" x14ac:dyDescent="0.35">
      <c r="A580" s="11">
        <v>15374.889370403151</v>
      </c>
      <c r="B580" s="20">
        <f t="shared" si="32"/>
        <v>300000</v>
      </c>
      <c r="C580" s="17">
        <f t="shared" si="33"/>
        <v>550000</v>
      </c>
      <c r="G580" s="11">
        <v>4644.9476607562483</v>
      </c>
      <c r="H580" s="20">
        <f t="shared" si="34"/>
        <v>232247.38303781243</v>
      </c>
      <c r="I580" s="17">
        <f t="shared" si="35"/>
        <v>-174853.66374706262</v>
      </c>
    </row>
    <row r="581" spans="1:9" x14ac:dyDescent="0.35">
      <c r="A581" s="11">
        <v>16869.83855708487</v>
      </c>
      <c r="B581" s="20">
        <f t="shared" si="32"/>
        <v>300000</v>
      </c>
      <c r="C581" s="17">
        <f t="shared" si="33"/>
        <v>550000</v>
      </c>
      <c r="G581" s="11">
        <v>6617.9692983794666</v>
      </c>
      <c r="H581" s="20">
        <f t="shared" si="34"/>
        <v>300000</v>
      </c>
      <c r="I581" s="17">
        <f t="shared" si="35"/>
        <v>-36742.149113437335</v>
      </c>
    </row>
    <row r="582" spans="1:9" x14ac:dyDescent="0.35">
      <c r="A582" s="11">
        <v>15221.381267738883</v>
      </c>
      <c r="B582" s="20">
        <f t="shared" si="32"/>
        <v>300000</v>
      </c>
      <c r="C582" s="17">
        <f t="shared" si="33"/>
        <v>550000</v>
      </c>
      <c r="G582" s="11">
        <v>3152.134769737846</v>
      </c>
      <c r="H582" s="20">
        <f t="shared" si="34"/>
        <v>157606.73848689231</v>
      </c>
      <c r="I582" s="17">
        <f t="shared" si="35"/>
        <v>-279350.56611835078</v>
      </c>
    </row>
    <row r="583" spans="1:9" x14ac:dyDescent="0.35">
      <c r="A583" s="11">
        <v>14399.517807550279</v>
      </c>
      <c r="B583" s="20">
        <f t="shared" si="32"/>
        <v>300000</v>
      </c>
      <c r="C583" s="17">
        <f t="shared" si="33"/>
        <v>507966.24652851955</v>
      </c>
      <c r="G583" s="11">
        <v>6030.793176061281</v>
      </c>
      <c r="H583" s="20">
        <f t="shared" si="34"/>
        <v>300000</v>
      </c>
      <c r="I583" s="17">
        <f t="shared" si="35"/>
        <v>-77844.477675710339</v>
      </c>
    </row>
    <row r="584" spans="1:9" x14ac:dyDescent="0.35">
      <c r="A584" s="11">
        <v>13441.236610003967</v>
      </c>
      <c r="B584" s="20">
        <f t="shared" si="32"/>
        <v>300000</v>
      </c>
      <c r="C584" s="17">
        <f t="shared" si="33"/>
        <v>440886.56270027766</v>
      </c>
      <c r="G584" s="11">
        <v>7927.3659474471269</v>
      </c>
      <c r="H584" s="20">
        <f t="shared" si="34"/>
        <v>300000</v>
      </c>
      <c r="I584" s="17">
        <f t="shared" si="35"/>
        <v>54915.616321298876</v>
      </c>
    </row>
    <row r="585" spans="1:9" x14ac:dyDescent="0.35">
      <c r="A585" s="11">
        <v>16262.672811059907</v>
      </c>
      <c r="B585" s="20">
        <f t="shared" si="32"/>
        <v>300000</v>
      </c>
      <c r="C585" s="17">
        <f t="shared" si="33"/>
        <v>550000</v>
      </c>
      <c r="G585" s="11">
        <v>4213.110751670888</v>
      </c>
      <c r="H585" s="20">
        <f t="shared" si="34"/>
        <v>210655.53758354441</v>
      </c>
      <c r="I585" s="17">
        <f t="shared" si="35"/>
        <v>-205082.24738303781</v>
      </c>
    </row>
    <row r="586" spans="1:9" x14ac:dyDescent="0.35">
      <c r="A586" s="11">
        <v>16433.271279030734</v>
      </c>
      <c r="B586" s="20">
        <f t="shared" si="32"/>
        <v>300000</v>
      </c>
      <c r="C586" s="17">
        <f t="shared" si="33"/>
        <v>550000</v>
      </c>
      <c r="G586" s="11">
        <v>6214.9723807489245</v>
      </c>
      <c r="H586" s="20">
        <f t="shared" si="34"/>
        <v>300000</v>
      </c>
      <c r="I586" s="17">
        <f t="shared" si="35"/>
        <v>-64951.933347575308</v>
      </c>
    </row>
    <row r="587" spans="1:9" x14ac:dyDescent="0.35">
      <c r="A587" s="11">
        <v>12095.21774956511</v>
      </c>
      <c r="B587" s="20">
        <f t="shared" si="32"/>
        <v>300000</v>
      </c>
      <c r="C587" s="17">
        <f t="shared" si="33"/>
        <v>346665.24246955768</v>
      </c>
      <c r="G587" s="11">
        <v>4776.7876216925561</v>
      </c>
      <c r="H587" s="20">
        <f t="shared" si="34"/>
        <v>238839.38108462779</v>
      </c>
      <c r="I587" s="17">
        <f t="shared" si="35"/>
        <v>-165624.86648152105</v>
      </c>
    </row>
    <row r="588" spans="1:9" x14ac:dyDescent="0.35">
      <c r="A588" s="11">
        <v>12854.365672780541</v>
      </c>
      <c r="B588" s="20">
        <f t="shared" si="32"/>
        <v>300000</v>
      </c>
      <c r="C588" s="17">
        <f t="shared" si="33"/>
        <v>399805.59709463792</v>
      </c>
      <c r="G588" s="11">
        <v>6451.0330515457626</v>
      </c>
      <c r="H588" s="20">
        <f t="shared" si="34"/>
        <v>300000</v>
      </c>
      <c r="I588" s="17">
        <f t="shared" si="35"/>
        <v>-48427.686391796626</v>
      </c>
    </row>
    <row r="589" spans="1:9" x14ac:dyDescent="0.35">
      <c r="A589" s="11">
        <v>16040.040284432509</v>
      </c>
      <c r="B589" s="20">
        <f t="shared" si="32"/>
        <v>300000</v>
      </c>
      <c r="C589" s="17">
        <f t="shared" si="33"/>
        <v>550000</v>
      </c>
      <c r="G589" s="11">
        <v>3663.014618366039</v>
      </c>
      <c r="H589" s="20">
        <f t="shared" si="34"/>
        <v>183150.73091830194</v>
      </c>
      <c r="I589" s="17">
        <f t="shared" si="35"/>
        <v>-243588.97671437726</v>
      </c>
    </row>
    <row r="590" spans="1:9" x14ac:dyDescent="0.35">
      <c r="A590" s="11">
        <v>16498.886074404127</v>
      </c>
      <c r="B590" s="20">
        <f t="shared" si="32"/>
        <v>300000</v>
      </c>
      <c r="C590" s="17">
        <f t="shared" si="33"/>
        <v>550000</v>
      </c>
      <c r="G590" s="11">
        <v>4880.8557390057067</v>
      </c>
      <c r="H590" s="20">
        <f t="shared" si="34"/>
        <v>244042.78695028534</v>
      </c>
      <c r="I590" s="17">
        <f t="shared" si="35"/>
        <v>-158340.09826960054</v>
      </c>
    </row>
    <row r="591" spans="1:9" x14ac:dyDescent="0.35">
      <c r="A591" s="11">
        <v>13363.567003387554</v>
      </c>
      <c r="B591" s="20">
        <f t="shared" si="32"/>
        <v>300000</v>
      </c>
      <c r="C591" s="17">
        <f t="shared" si="33"/>
        <v>435449.69023712876</v>
      </c>
      <c r="G591" s="11">
        <v>6491.6226691488391</v>
      </c>
      <c r="H591" s="20">
        <f t="shared" si="34"/>
        <v>300000</v>
      </c>
      <c r="I591" s="17">
        <f t="shared" si="35"/>
        <v>-45586.413159581251</v>
      </c>
    </row>
    <row r="592" spans="1:9" x14ac:dyDescent="0.35">
      <c r="A592" s="11">
        <v>15679.616687520982</v>
      </c>
      <c r="B592" s="20">
        <f t="shared" si="32"/>
        <v>300000</v>
      </c>
      <c r="C592" s="17">
        <f t="shared" si="33"/>
        <v>550000</v>
      </c>
      <c r="G592" s="11">
        <v>6890.9573656422617</v>
      </c>
      <c r="H592" s="20">
        <f t="shared" si="34"/>
        <v>300000</v>
      </c>
      <c r="I592" s="17">
        <f t="shared" si="35"/>
        <v>-17632.984405041672</v>
      </c>
    </row>
    <row r="593" spans="1:9" x14ac:dyDescent="0.35">
      <c r="A593" s="11">
        <v>14597.888119144262</v>
      </c>
      <c r="B593" s="20">
        <f t="shared" si="32"/>
        <v>300000</v>
      </c>
      <c r="C593" s="17">
        <f t="shared" si="33"/>
        <v>521852.16834009835</v>
      </c>
      <c r="G593" s="11">
        <v>4429.1817987609484</v>
      </c>
      <c r="H593" s="20">
        <f t="shared" si="34"/>
        <v>221459.08993804743</v>
      </c>
      <c r="I593" s="17">
        <f t="shared" si="35"/>
        <v>-189957.27408673364</v>
      </c>
    </row>
    <row r="594" spans="1:9" x14ac:dyDescent="0.35">
      <c r="A594" s="11">
        <v>13953.489791558581</v>
      </c>
      <c r="B594" s="20">
        <f t="shared" si="32"/>
        <v>300000</v>
      </c>
      <c r="C594" s="17">
        <f t="shared" si="33"/>
        <v>476744.2854091007</v>
      </c>
      <c r="G594" s="11">
        <v>4811.5787224951937</v>
      </c>
      <c r="H594" s="20">
        <f t="shared" si="34"/>
        <v>240578.9361247597</v>
      </c>
      <c r="I594" s="17">
        <f t="shared" si="35"/>
        <v>-163189.48942533642</v>
      </c>
    </row>
    <row r="595" spans="1:9" x14ac:dyDescent="0.35">
      <c r="A595" s="11">
        <v>13929.074983977782</v>
      </c>
      <c r="B595" s="20">
        <f t="shared" si="32"/>
        <v>300000</v>
      </c>
      <c r="C595" s="17">
        <f t="shared" si="33"/>
        <v>475035.24887844478</v>
      </c>
      <c r="G595" s="11">
        <v>4552.9343546861173</v>
      </c>
      <c r="H595" s="20">
        <f t="shared" si="34"/>
        <v>227646.71773430586</v>
      </c>
      <c r="I595" s="17">
        <f t="shared" si="35"/>
        <v>-181294.59517197177</v>
      </c>
    </row>
    <row r="596" spans="1:9" x14ac:dyDescent="0.35">
      <c r="A596" s="11">
        <v>13251.564073610645</v>
      </c>
      <c r="B596" s="20">
        <f t="shared" si="32"/>
        <v>300000</v>
      </c>
      <c r="C596" s="17">
        <f t="shared" si="33"/>
        <v>427609.48515274515</v>
      </c>
      <c r="G596" s="11">
        <v>5521.7444380016477</v>
      </c>
      <c r="H596" s="20">
        <f t="shared" si="34"/>
        <v>276087.22190008237</v>
      </c>
      <c r="I596" s="17">
        <f t="shared" si="35"/>
        <v>-113477.88933988468</v>
      </c>
    </row>
    <row r="597" spans="1:9" x14ac:dyDescent="0.35">
      <c r="A597" s="11">
        <v>14907.193212683493</v>
      </c>
      <c r="B597" s="20">
        <f t="shared" si="32"/>
        <v>300000</v>
      </c>
      <c r="C597" s="17">
        <f t="shared" si="33"/>
        <v>543503.52488784445</v>
      </c>
      <c r="G597" s="11">
        <v>5960.7531968138683</v>
      </c>
      <c r="H597" s="20">
        <f t="shared" si="34"/>
        <v>298037.65984069341</v>
      </c>
      <c r="I597" s="17">
        <f t="shared" si="35"/>
        <v>-82747.276223029243</v>
      </c>
    </row>
    <row r="598" spans="1:9" x14ac:dyDescent="0.35">
      <c r="A598" s="11">
        <v>16459.517197180088</v>
      </c>
      <c r="B598" s="20">
        <f t="shared" si="32"/>
        <v>300000</v>
      </c>
      <c r="C598" s="17">
        <f t="shared" si="33"/>
        <v>550000</v>
      </c>
      <c r="G598" s="11">
        <v>5337.4126407666245</v>
      </c>
      <c r="H598" s="20">
        <f t="shared" si="34"/>
        <v>266870.63203833124</v>
      </c>
      <c r="I598" s="17">
        <f t="shared" si="35"/>
        <v>-126381.11514633626</v>
      </c>
    </row>
    <row r="599" spans="1:9" x14ac:dyDescent="0.35">
      <c r="A599" s="11">
        <v>13581.011383404035</v>
      </c>
      <c r="B599" s="20">
        <f t="shared" si="32"/>
        <v>300000</v>
      </c>
      <c r="C599" s="17">
        <f t="shared" si="33"/>
        <v>450670.79683828249</v>
      </c>
      <c r="G599" s="11">
        <v>5436.7503891109955</v>
      </c>
      <c r="H599" s="20">
        <f t="shared" si="34"/>
        <v>271837.51945554977</v>
      </c>
      <c r="I599" s="17">
        <f t="shared" si="35"/>
        <v>-119427.47276223032</v>
      </c>
    </row>
    <row r="600" spans="1:9" x14ac:dyDescent="0.35">
      <c r="A600" s="11">
        <v>15374.43159276101</v>
      </c>
      <c r="B600" s="20">
        <f t="shared" si="32"/>
        <v>300000</v>
      </c>
      <c r="C600" s="17">
        <f t="shared" si="33"/>
        <v>550000</v>
      </c>
      <c r="G600" s="11">
        <v>7020.5084383678695</v>
      </c>
      <c r="H600" s="20">
        <f t="shared" si="34"/>
        <v>300000</v>
      </c>
      <c r="I600" s="17">
        <f t="shared" si="35"/>
        <v>-8564.4093142491183</v>
      </c>
    </row>
    <row r="601" spans="1:9" x14ac:dyDescent="0.35">
      <c r="A601" s="11">
        <v>12538.956877346111</v>
      </c>
      <c r="B601" s="20">
        <f t="shared" si="32"/>
        <v>300000</v>
      </c>
      <c r="C601" s="17">
        <f t="shared" si="33"/>
        <v>377726.98141422775</v>
      </c>
      <c r="G601" s="11">
        <v>4414.8380993072296</v>
      </c>
      <c r="H601" s="20">
        <f t="shared" si="34"/>
        <v>220741.90496536149</v>
      </c>
      <c r="I601" s="17">
        <f t="shared" si="35"/>
        <v>-190961.33304849395</v>
      </c>
    </row>
    <row r="602" spans="1:9" x14ac:dyDescent="0.35">
      <c r="A602" s="11">
        <v>14853.938413647877</v>
      </c>
      <c r="B602" s="20">
        <f t="shared" si="32"/>
        <v>300000</v>
      </c>
      <c r="C602" s="17">
        <f t="shared" si="33"/>
        <v>539775.68895535136</v>
      </c>
      <c r="G602" s="11">
        <v>4922.8186895352028</v>
      </c>
      <c r="H602" s="20">
        <f t="shared" si="34"/>
        <v>246140.93447676013</v>
      </c>
      <c r="I602" s="17">
        <f t="shared" si="35"/>
        <v>-155402.69173253578</v>
      </c>
    </row>
    <row r="603" spans="1:9" x14ac:dyDescent="0.35">
      <c r="A603" s="11">
        <v>14653.736991485337</v>
      </c>
      <c r="B603" s="20">
        <f t="shared" si="32"/>
        <v>300000</v>
      </c>
      <c r="C603" s="17">
        <f t="shared" si="33"/>
        <v>525761.58940397354</v>
      </c>
      <c r="G603" s="11">
        <v>5440.412610248115</v>
      </c>
      <c r="H603" s="20">
        <f t="shared" si="34"/>
        <v>272020.63051240577</v>
      </c>
      <c r="I603" s="17">
        <f t="shared" si="35"/>
        <v>-119171.11728263192</v>
      </c>
    </row>
    <row r="604" spans="1:9" x14ac:dyDescent="0.35">
      <c r="A604" s="11">
        <v>13006.958220160528</v>
      </c>
      <c r="B604" s="20">
        <f t="shared" si="32"/>
        <v>300000</v>
      </c>
      <c r="C604" s="17">
        <f t="shared" si="33"/>
        <v>410487.07541123696</v>
      </c>
      <c r="G604" s="11">
        <v>4918.5460982085633</v>
      </c>
      <c r="H604" s="20">
        <f t="shared" si="34"/>
        <v>245927.30491042815</v>
      </c>
      <c r="I604" s="17">
        <f t="shared" si="35"/>
        <v>-155701.77312540059</v>
      </c>
    </row>
    <row r="605" spans="1:9" x14ac:dyDescent="0.35">
      <c r="A605" s="11">
        <v>13231.879634998626</v>
      </c>
      <c r="B605" s="20">
        <f t="shared" si="32"/>
        <v>300000</v>
      </c>
      <c r="C605" s="17">
        <f t="shared" si="33"/>
        <v>426231.5744499038</v>
      </c>
      <c r="G605" s="11">
        <v>4424.4514297921687</v>
      </c>
      <c r="H605" s="20">
        <f t="shared" si="34"/>
        <v>221222.57148960844</v>
      </c>
      <c r="I605" s="17">
        <f t="shared" si="35"/>
        <v>-190288.39991454821</v>
      </c>
    </row>
    <row r="606" spans="1:9" x14ac:dyDescent="0.35">
      <c r="A606" s="11">
        <v>13575.060274056215</v>
      </c>
      <c r="B606" s="20">
        <f t="shared" si="32"/>
        <v>300000</v>
      </c>
      <c r="C606" s="17">
        <f t="shared" si="33"/>
        <v>450254.21918393509</v>
      </c>
      <c r="G606" s="11">
        <v>6487.9604480117196</v>
      </c>
      <c r="H606" s="20">
        <f t="shared" si="34"/>
        <v>300000</v>
      </c>
      <c r="I606" s="17">
        <f t="shared" si="35"/>
        <v>-45842.768639179645</v>
      </c>
    </row>
    <row r="607" spans="1:9" x14ac:dyDescent="0.35">
      <c r="A607" s="11">
        <v>16374.523148289438</v>
      </c>
      <c r="B607" s="20">
        <f t="shared" si="32"/>
        <v>300000</v>
      </c>
      <c r="C607" s="17">
        <f t="shared" si="33"/>
        <v>550000</v>
      </c>
      <c r="G607" s="11">
        <v>7847.7126377147742</v>
      </c>
      <c r="H607" s="20">
        <f t="shared" si="34"/>
        <v>300000</v>
      </c>
      <c r="I607" s="17">
        <f t="shared" si="35"/>
        <v>49339.884640034172</v>
      </c>
    </row>
    <row r="608" spans="1:9" x14ac:dyDescent="0.35">
      <c r="A608" s="11">
        <v>13342.661824396497</v>
      </c>
      <c r="B608" s="20">
        <f t="shared" si="32"/>
        <v>300000</v>
      </c>
      <c r="C608" s="17">
        <f t="shared" si="33"/>
        <v>433986.3277077548</v>
      </c>
      <c r="G608" s="11">
        <v>5735.5265968810081</v>
      </c>
      <c r="H608" s="20">
        <f t="shared" si="34"/>
        <v>286776.3298440504</v>
      </c>
      <c r="I608" s="17">
        <f t="shared" si="35"/>
        <v>-98513.138218329404</v>
      </c>
    </row>
    <row r="609" spans="1:9" x14ac:dyDescent="0.35">
      <c r="A609" s="11">
        <v>13279.641102328562</v>
      </c>
      <c r="B609" s="20">
        <f t="shared" si="32"/>
        <v>300000</v>
      </c>
      <c r="C609" s="17">
        <f t="shared" si="33"/>
        <v>429574.87716299936</v>
      </c>
      <c r="G609" s="11">
        <v>4821.6498306222729</v>
      </c>
      <c r="H609" s="20">
        <f t="shared" si="34"/>
        <v>241082.49153111366</v>
      </c>
      <c r="I609" s="17">
        <f t="shared" si="35"/>
        <v>-162484.51185644092</v>
      </c>
    </row>
    <row r="610" spans="1:9" x14ac:dyDescent="0.35">
      <c r="A610" s="11">
        <v>12620.136112552264</v>
      </c>
      <c r="B610" s="20">
        <f t="shared" ref="B610:B673" si="36">50*MIN(6000,A610)</f>
        <v>300000</v>
      </c>
      <c r="C610" s="17">
        <f t="shared" ref="C610:C673" si="37">70*MIN(15000,A610)-500000</f>
        <v>383409.5278786585</v>
      </c>
      <c r="G610" s="11">
        <v>5863.3991515854368</v>
      </c>
      <c r="H610" s="20">
        <f t="shared" ref="H610:H673" si="38">50*MIN(6000,G610)</f>
        <v>293169.95757927187</v>
      </c>
      <c r="I610" s="17">
        <f t="shared" ref="I610:I673" si="39">70*MIN(15000,G610)-500000</f>
        <v>-89562.059389019443</v>
      </c>
    </row>
    <row r="611" spans="1:9" x14ac:dyDescent="0.35">
      <c r="A611" s="11">
        <v>14613.147373882261</v>
      </c>
      <c r="B611" s="20">
        <f t="shared" si="36"/>
        <v>300000</v>
      </c>
      <c r="C611" s="17">
        <f t="shared" si="37"/>
        <v>522920.31617175823</v>
      </c>
      <c r="G611" s="11">
        <v>5686.3917966246536</v>
      </c>
      <c r="H611" s="20">
        <f t="shared" si="38"/>
        <v>284319.58983123268</v>
      </c>
      <c r="I611" s="17">
        <f t="shared" si="39"/>
        <v>-101952.57423627423</v>
      </c>
    </row>
    <row r="612" spans="1:9" x14ac:dyDescent="0.35">
      <c r="A612" s="11">
        <v>13686.300241096225</v>
      </c>
      <c r="B612" s="20">
        <f t="shared" si="36"/>
        <v>300000</v>
      </c>
      <c r="C612" s="17">
        <f t="shared" si="37"/>
        <v>458041.01687673572</v>
      </c>
      <c r="G612" s="11">
        <v>6326.2123477889345</v>
      </c>
      <c r="H612" s="20">
        <f t="shared" si="38"/>
        <v>300000</v>
      </c>
      <c r="I612" s="17">
        <f t="shared" si="39"/>
        <v>-57165.135654774611</v>
      </c>
    </row>
    <row r="613" spans="1:9" x14ac:dyDescent="0.35">
      <c r="A613" s="11">
        <v>13524.55214087344</v>
      </c>
      <c r="B613" s="20">
        <f t="shared" si="36"/>
        <v>300000</v>
      </c>
      <c r="C613" s="17">
        <f t="shared" si="37"/>
        <v>446718.64986114088</v>
      </c>
      <c r="G613" s="11">
        <v>4722.1594897305213</v>
      </c>
      <c r="H613" s="20">
        <f t="shared" si="38"/>
        <v>236107.97448652607</v>
      </c>
      <c r="I613" s="17">
        <f t="shared" si="39"/>
        <v>-169448.83571886353</v>
      </c>
    </row>
    <row r="614" spans="1:9" x14ac:dyDescent="0.35">
      <c r="A614" s="11">
        <v>13693.777275917844</v>
      </c>
      <c r="B614" s="20">
        <f t="shared" si="36"/>
        <v>300000</v>
      </c>
      <c r="C614" s="17">
        <f t="shared" si="37"/>
        <v>458564.40931424906</v>
      </c>
      <c r="G614" s="11">
        <v>4161.2292855616934</v>
      </c>
      <c r="H614" s="20">
        <f t="shared" si="38"/>
        <v>208061.46427808466</v>
      </c>
      <c r="I614" s="17">
        <f t="shared" si="39"/>
        <v>-208713.95001068147</v>
      </c>
    </row>
    <row r="615" spans="1:9" x14ac:dyDescent="0.35">
      <c r="A615" s="11">
        <v>14063.20383312479</v>
      </c>
      <c r="B615" s="20">
        <f t="shared" si="36"/>
        <v>300000</v>
      </c>
      <c r="C615" s="17">
        <f t="shared" si="37"/>
        <v>484424.2683187353</v>
      </c>
      <c r="G615" s="11">
        <v>7741.6608172856841</v>
      </c>
      <c r="H615" s="20">
        <f t="shared" si="38"/>
        <v>300000</v>
      </c>
      <c r="I615" s="17">
        <f t="shared" si="39"/>
        <v>41916.257209997857</v>
      </c>
    </row>
    <row r="616" spans="1:9" x14ac:dyDescent="0.35">
      <c r="A616" s="11">
        <v>13036.561174352244</v>
      </c>
      <c r="B616" s="20">
        <f t="shared" si="36"/>
        <v>300000</v>
      </c>
      <c r="C616" s="17">
        <f t="shared" si="37"/>
        <v>412559.28220465709</v>
      </c>
      <c r="G616" s="11">
        <v>6471.6330454420604</v>
      </c>
      <c r="H616" s="20">
        <f t="shared" si="38"/>
        <v>300000</v>
      </c>
      <c r="I616" s="17">
        <f t="shared" si="39"/>
        <v>-46985.686819055758</v>
      </c>
    </row>
    <row r="617" spans="1:9" x14ac:dyDescent="0.35">
      <c r="A617" s="11">
        <v>15233.893856624043</v>
      </c>
      <c r="B617" s="20">
        <f t="shared" si="36"/>
        <v>300000</v>
      </c>
      <c r="C617" s="17">
        <f t="shared" si="37"/>
        <v>550000</v>
      </c>
      <c r="G617" s="11">
        <v>3877.5597399822991</v>
      </c>
      <c r="H617" s="20">
        <f t="shared" si="38"/>
        <v>193877.98699911495</v>
      </c>
      <c r="I617" s="17">
        <f t="shared" si="39"/>
        <v>-228570.81820123905</v>
      </c>
    </row>
    <row r="618" spans="1:9" x14ac:dyDescent="0.35">
      <c r="A618" s="11">
        <v>15701.742606891079</v>
      </c>
      <c r="B618" s="20">
        <f t="shared" si="36"/>
        <v>300000</v>
      </c>
      <c r="C618" s="17">
        <f t="shared" si="37"/>
        <v>550000</v>
      </c>
      <c r="G618" s="11">
        <v>7344.1572313608203</v>
      </c>
      <c r="H618" s="20">
        <f t="shared" si="38"/>
        <v>300000</v>
      </c>
      <c r="I618" s="17">
        <f t="shared" si="39"/>
        <v>14091.006195257418</v>
      </c>
    </row>
    <row r="619" spans="1:9" x14ac:dyDescent="0.35">
      <c r="A619" s="11">
        <v>12384.685811944944</v>
      </c>
      <c r="B619" s="20">
        <f t="shared" si="36"/>
        <v>300000</v>
      </c>
      <c r="C619" s="17">
        <f t="shared" si="37"/>
        <v>366928.00683614612</v>
      </c>
      <c r="G619" s="11">
        <v>7974.3644520401622</v>
      </c>
      <c r="H619" s="20">
        <f t="shared" si="38"/>
        <v>300000</v>
      </c>
      <c r="I619" s="17">
        <f t="shared" si="39"/>
        <v>58205.511642811354</v>
      </c>
    </row>
    <row r="620" spans="1:9" x14ac:dyDescent="0.35">
      <c r="A620" s="11">
        <v>12780.816064943388</v>
      </c>
      <c r="B620" s="20">
        <f t="shared" si="36"/>
        <v>300000</v>
      </c>
      <c r="C620" s="17">
        <f t="shared" si="37"/>
        <v>394657.12454603717</v>
      </c>
      <c r="G620" s="11">
        <v>6244.8805200354018</v>
      </c>
      <c r="H620" s="20">
        <f t="shared" si="38"/>
        <v>300000</v>
      </c>
      <c r="I620" s="17">
        <f t="shared" si="39"/>
        <v>-62858.363597521849</v>
      </c>
    </row>
    <row r="621" spans="1:9" x14ac:dyDescent="0.35">
      <c r="A621" s="11">
        <v>13642.811365092928</v>
      </c>
      <c r="B621" s="20">
        <f t="shared" si="36"/>
        <v>300000</v>
      </c>
      <c r="C621" s="17">
        <f t="shared" si="37"/>
        <v>454996.79555650498</v>
      </c>
      <c r="G621" s="11">
        <v>3701.4679403057953</v>
      </c>
      <c r="H621" s="20">
        <f t="shared" si="38"/>
        <v>185073.39701528975</v>
      </c>
      <c r="I621" s="17">
        <f t="shared" si="39"/>
        <v>-240897.24417859432</v>
      </c>
    </row>
    <row r="622" spans="1:9" x14ac:dyDescent="0.35">
      <c r="A622" s="11">
        <v>12246.436964018678</v>
      </c>
      <c r="B622" s="20">
        <f t="shared" si="36"/>
        <v>300000</v>
      </c>
      <c r="C622" s="17">
        <f t="shared" si="37"/>
        <v>357250.58748130745</v>
      </c>
      <c r="G622" s="11">
        <v>3771.5079195532089</v>
      </c>
      <c r="H622" s="20">
        <f t="shared" si="38"/>
        <v>188575.39597766043</v>
      </c>
      <c r="I622" s="17">
        <f t="shared" si="39"/>
        <v>-235994.44563127536</v>
      </c>
    </row>
    <row r="623" spans="1:9" x14ac:dyDescent="0.35">
      <c r="A623" s="11">
        <v>13342.509231849117</v>
      </c>
      <c r="B623" s="20">
        <f t="shared" si="36"/>
        <v>300000</v>
      </c>
      <c r="C623" s="17">
        <f t="shared" si="37"/>
        <v>433975.64622943813</v>
      </c>
      <c r="G623" s="11">
        <v>6004.8524430066836</v>
      </c>
      <c r="H623" s="20">
        <f t="shared" si="38"/>
        <v>300000</v>
      </c>
      <c r="I623" s="17">
        <f t="shared" si="39"/>
        <v>-79660.328989532136</v>
      </c>
    </row>
    <row r="624" spans="1:9" x14ac:dyDescent="0.35">
      <c r="A624" s="11">
        <v>15405.865657521286</v>
      </c>
      <c r="B624" s="20">
        <f t="shared" si="36"/>
        <v>300000</v>
      </c>
      <c r="C624" s="17">
        <f t="shared" si="37"/>
        <v>550000</v>
      </c>
      <c r="G624" s="11">
        <v>5184.8200933866392</v>
      </c>
      <c r="H624" s="20">
        <f t="shared" si="38"/>
        <v>259241.00466933195</v>
      </c>
      <c r="I624" s="17">
        <f t="shared" si="39"/>
        <v>-137062.59346293524</v>
      </c>
    </row>
    <row r="625" spans="1:9" x14ac:dyDescent="0.35">
      <c r="A625" s="11">
        <v>12445.722830896939</v>
      </c>
      <c r="B625" s="20">
        <f t="shared" si="36"/>
        <v>300000</v>
      </c>
      <c r="C625" s="17">
        <f t="shared" si="37"/>
        <v>371200.59816278575</v>
      </c>
      <c r="G625" s="11">
        <v>7875.1792962431718</v>
      </c>
      <c r="H625" s="20">
        <f t="shared" si="38"/>
        <v>300000</v>
      </c>
      <c r="I625" s="17">
        <f t="shared" si="39"/>
        <v>51262.550737022073</v>
      </c>
    </row>
    <row r="626" spans="1:9" x14ac:dyDescent="0.35">
      <c r="A626" s="11">
        <v>16281.594286935026</v>
      </c>
      <c r="B626" s="20">
        <f t="shared" si="36"/>
        <v>300000</v>
      </c>
      <c r="C626" s="17">
        <f t="shared" si="37"/>
        <v>550000</v>
      </c>
      <c r="G626" s="11">
        <v>3007.3244422742391</v>
      </c>
      <c r="H626" s="20">
        <f t="shared" si="38"/>
        <v>150366.22211371196</v>
      </c>
      <c r="I626" s="17">
        <f t="shared" si="39"/>
        <v>-289487.28904080327</v>
      </c>
    </row>
    <row r="627" spans="1:9" x14ac:dyDescent="0.35">
      <c r="A627" s="11">
        <v>13469.618823816645</v>
      </c>
      <c r="B627" s="20">
        <f t="shared" si="36"/>
        <v>300000</v>
      </c>
      <c r="C627" s="17">
        <f t="shared" si="37"/>
        <v>442873.31766716519</v>
      </c>
      <c r="G627" s="11">
        <v>3818.6590166936248</v>
      </c>
      <c r="H627" s="20">
        <f t="shared" si="38"/>
        <v>190932.95083468125</v>
      </c>
      <c r="I627" s="17">
        <f t="shared" si="39"/>
        <v>-232693.86883144628</v>
      </c>
    </row>
    <row r="628" spans="1:9" x14ac:dyDescent="0.35">
      <c r="A628" s="11">
        <v>12633.716849269082</v>
      </c>
      <c r="B628" s="20">
        <f t="shared" si="36"/>
        <v>300000</v>
      </c>
      <c r="C628" s="17">
        <f t="shared" si="37"/>
        <v>384360.17944883567</v>
      </c>
      <c r="G628" s="11">
        <v>7806.2074648274174</v>
      </c>
      <c r="H628" s="20">
        <f t="shared" si="38"/>
        <v>300000</v>
      </c>
      <c r="I628" s="17">
        <f t="shared" si="39"/>
        <v>46434.522537919227</v>
      </c>
    </row>
    <row r="629" spans="1:9" x14ac:dyDescent="0.35">
      <c r="A629" s="11">
        <v>15014.313180944242</v>
      </c>
      <c r="B629" s="20">
        <f t="shared" si="36"/>
        <v>300000</v>
      </c>
      <c r="C629" s="17">
        <f t="shared" si="37"/>
        <v>550000</v>
      </c>
      <c r="G629" s="11">
        <v>3940.2752769554736</v>
      </c>
      <c r="H629" s="20">
        <f t="shared" si="38"/>
        <v>197013.76384777369</v>
      </c>
      <c r="I629" s="17">
        <f t="shared" si="39"/>
        <v>-224180.73061311687</v>
      </c>
    </row>
    <row r="630" spans="1:9" x14ac:dyDescent="0.35">
      <c r="A630" s="11">
        <v>14579.577013458664</v>
      </c>
      <c r="B630" s="20">
        <f t="shared" si="36"/>
        <v>300000</v>
      </c>
      <c r="C630" s="17">
        <f t="shared" si="37"/>
        <v>520570.39094210649</v>
      </c>
      <c r="G630" s="11">
        <v>6666.6463209936828</v>
      </c>
      <c r="H630" s="20">
        <f t="shared" si="38"/>
        <v>300000</v>
      </c>
      <c r="I630" s="17">
        <f t="shared" si="39"/>
        <v>-33334.757530442206</v>
      </c>
    </row>
    <row r="631" spans="1:9" x14ac:dyDescent="0.35">
      <c r="A631" s="11">
        <v>14286.75191503647</v>
      </c>
      <c r="B631" s="20">
        <f t="shared" si="36"/>
        <v>300000</v>
      </c>
      <c r="C631" s="17">
        <f t="shared" si="37"/>
        <v>500072.63405255286</v>
      </c>
      <c r="G631" s="11">
        <v>6348.0330820642721</v>
      </c>
      <c r="H631" s="20">
        <f t="shared" si="38"/>
        <v>300000</v>
      </c>
      <c r="I631" s="17">
        <f t="shared" si="39"/>
        <v>-55637.684255500964</v>
      </c>
    </row>
    <row r="632" spans="1:9" x14ac:dyDescent="0.35">
      <c r="A632" s="11">
        <v>16887.234107486191</v>
      </c>
      <c r="B632" s="20">
        <f t="shared" si="36"/>
        <v>300000</v>
      </c>
      <c r="C632" s="17">
        <f t="shared" si="37"/>
        <v>550000</v>
      </c>
      <c r="G632" s="11">
        <v>7479.9645985290081</v>
      </c>
      <c r="H632" s="20">
        <f t="shared" si="38"/>
        <v>300000</v>
      </c>
      <c r="I632" s="17">
        <f t="shared" si="39"/>
        <v>23597.521897030587</v>
      </c>
    </row>
    <row r="633" spans="1:9" x14ac:dyDescent="0.35">
      <c r="A633" s="11">
        <v>15625.904110843227</v>
      </c>
      <c r="B633" s="20">
        <f t="shared" si="36"/>
        <v>300000</v>
      </c>
      <c r="C633" s="17">
        <f t="shared" si="37"/>
        <v>550000</v>
      </c>
      <c r="G633" s="11">
        <v>4784.2646565141758</v>
      </c>
      <c r="H633" s="20">
        <f t="shared" si="38"/>
        <v>239213.23282570878</v>
      </c>
      <c r="I633" s="17">
        <f t="shared" si="39"/>
        <v>-165101.47404400771</v>
      </c>
    </row>
    <row r="634" spans="1:9" x14ac:dyDescent="0.35">
      <c r="A634" s="11">
        <v>12171.056245612965</v>
      </c>
      <c r="B634" s="20">
        <f t="shared" si="36"/>
        <v>300000</v>
      </c>
      <c r="C634" s="17">
        <f t="shared" si="37"/>
        <v>351973.93719290756</v>
      </c>
      <c r="G634" s="11">
        <v>4586.657307657094</v>
      </c>
      <c r="H634" s="20">
        <f t="shared" si="38"/>
        <v>229332.86538285471</v>
      </c>
      <c r="I634" s="17">
        <f t="shared" si="39"/>
        <v>-178933.98846400343</v>
      </c>
    </row>
    <row r="635" spans="1:9" x14ac:dyDescent="0.35">
      <c r="A635" s="11">
        <v>14610.40070802942</v>
      </c>
      <c r="B635" s="20">
        <f t="shared" si="36"/>
        <v>300000</v>
      </c>
      <c r="C635" s="17">
        <f t="shared" si="37"/>
        <v>522728.04956205934</v>
      </c>
      <c r="G635" s="11">
        <v>6085.5739005706964</v>
      </c>
      <c r="H635" s="20">
        <f t="shared" si="38"/>
        <v>300000</v>
      </c>
      <c r="I635" s="17">
        <f t="shared" si="39"/>
        <v>-74009.826960051258</v>
      </c>
    </row>
    <row r="636" spans="1:9" x14ac:dyDescent="0.35">
      <c r="A636" s="11">
        <v>12490.737632374035</v>
      </c>
      <c r="B636" s="20">
        <f t="shared" si="36"/>
        <v>300000</v>
      </c>
      <c r="C636" s="17">
        <f t="shared" si="37"/>
        <v>374351.63426618243</v>
      </c>
      <c r="G636" s="11">
        <v>3214.0873439741204</v>
      </c>
      <c r="H636" s="20">
        <f t="shared" si="38"/>
        <v>160704.36719870602</v>
      </c>
      <c r="I636" s="17">
        <f t="shared" si="39"/>
        <v>-275013.88592181157</v>
      </c>
    </row>
    <row r="637" spans="1:9" x14ac:dyDescent="0.35">
      <c r="A637" s="11">
        <v>16484.084597308269</v>
      </c>
      <c r="B637" s="20">
        <f t="shared" si="36"/>
        <v>300000</v>
      </c>
      <c r="C637" s="17">
        <f t="shared" si="37"/>
        <v>550000</v>
      </c>
      <c r="G637" s="11">
        <v>6423.4138004699853</v>
      </c>
      <c r="H637" s="20">
        <f t="shared" si="38"/>
        <v>300000</v>
      </c>
      <c r="I637" s="17">
        <f t="shared" si="39"/>
        <v>-50361.033967101015</v>
      </c>
    </row>
    <row r="638" spans="1:9" x14ac:dyDescent="0.35">
      <c r="A638" s="11">
        <v>14411.267433698538</v>
      </c>
      <c r="B638" s="20">
        <f t="shared" si="36"/>
        <v>300000</v>
      </c>
      <c r="C638" s="17">
        <f t="shared" si="37"/>
        <v>508788.7203588977</v>
      </c>
      <c r="G638" s="11">
        <v>7100.0091555528425</v>
      </c>
      <c r="H638" s="20">
        <f t="shared" si="38"/>
        <v>300000</v>
      </c>
      <c r="I638" s="17">
        <f t="shared" si="39"/>
        <v>-2999.3591113010189</v>
      </c>
    </row>
    <row r="639" spans="1:9" x14ac:dyDescent="0.35">
      <c r="A639" s="11">
        <v>14979.216895046846</v>
      </c>
      <c r="B639" s="20">
        <f t="shared" si="36"/>
        <v>300000</v>
      </c>
      <c r="C639" s="17">
        <f t="shared" si="37"/>
        <v>548545.18265327916</v>
      </c>
      <c r="G639" s="11">
        <v>4389.8129215369117</v>
      </c>
      <c r="H639" s="20">
        <f t="shared" si="38"/>
        <v>219490.64607684559</v>
      </c>
      <c r="I639" s="17">
        <f t="shared" si="39"/>
        <v>-192713.09549241618</v>
      </c>
    </row>
    <row r="640" spans="1:9" x14ac:dyDescent="0.35">
      <c r="A640" s="11">
        <v>15516.647846919157</v>
      </c>
      <c r="B640" s="20">
        <f t="shared" si="36"/>
        <v>300000</v>
      </c>
      <c r="C640" s="17">
        <f t="shared" si="37"/>
        <v>550000</v>
      </c>
      <c r="G640" s="11">
        <v>6365.12344737083</v>
      </c>
      <c r="H640" s="20">
        <f t="shared" si="38"/>
        <v>300000</v>
      </c>
      <c r="I640" s="17">
        <f t="shared" si="39"/>
        <v>-54441.358684041887</v>
      </c>
    </row>
    <row r="641" spans="1:9" x14ac:dyDescent="0.35">
      <c r="A641" s="11">
        <v>13809.747611926634</v>
      </c>
      <c r="B641" s="20">
        <f t="shared" si="36"/>
        <v>300000</v>
      </c>
      <c r="C641" s="17">
        <f t="shared" si="37"/>
        <v>466682.33283486438</v>
      </c>
      <c r="G641" s="11">
        <v>5991.7294839320048</v>
      </c>
      <c r="H641" s="20">
        <f t="shared" si="38"/>
        <v>299586.47419660026</v>
      </c>
      <c r="I641" s="17">
        <f t="shared" si="39"/>
        <v>-80578.936124759668</v>
      </c>
    </row>
    <row r="642" spans="1:9" x14ac:dyDescent="0.35">
      <c r="A642" s="11">
        <v>16828.943754387037</v>
      </c>
      <c r="B642" s="20">
        <f t="shared" si="36"/>
        <v>300000</v>
      </c>
      <c r="C642" s="17">
        <f t="shared" si="37"/>
        <v>550000</v>
      </c>
      <c r="G642" s="11">
        <v>6692.4344615009004</v>
      </c>
      <c r="H642" s="20">
        <f t="shared" si="38"/>
        <v>300000</v>
      </c>
      <c r="I642" s="17">
        <f t="shared" si="39"/>
        <v>-31529.587694936956</v>
      </c>
    </row>
    <row r="643" spans="1:9" x14ac:dyDescent="0.35">
      <c r="A643" s="11">
        <v>13731.620227668081</v>
      </c>
      <c r="B643" s="20">
        <f t="shared" si="36"/>
        <v>300000</v>
      </c>
      <c r="C643" s="17">
        <f t="shared" si="37"/>
        <v>461213.41593676573</v>
      </c>
      <c r="G643" s="11">
        <v>4635.0291451765497</v>
      </c>
      <c r="H643" s="20">
        <f t="shared" si="38"/>
        <v>231751.45725882749</v>
      </c>
      <c r="I643" s="17">
        <f t="shared" si="39"/>
        <v>-175547.95983764151</v>
      </c>
    </row>
    <row r="644" spans="1:9" x14ac:dyDescent="0.35">
      <c r="A644" s="11">
        <v>13675.771355327006</v>
      </c>
      <c r="B644" s="20">
        <f t="shared" si="36"/>
        <v>300000</v>
      </c>
      <c r="C644" s="17">
        <f t="shared" si="37"/>
        <v>457303.99487289041</v>
      </c>
      <c r="G644" s="11">
        <v>6812.8299813837093</v>
      </c>
      <c r="H644" s="20">
        <f t="shared" si="38"/>
        <v>300000</v>
      </c>
      <c r="I644" s="17">
        <f t="shared" si="39"/>
        <v>-23101.90130314033</v>
      </c>
    </row>
    <row r="645" spans="1:9" x14ac:dyDescent="0.35">
      <c r="A645" s="11">
        <v>13787.316507461775</v>
      </c>
      <c r="B645" s="20">
        <f t="shared" si="36"/>
        <v>300000</v>
      </c>
      <c r="C645" s="17">
        <f t="shared" si="37"/>
        <v>465112.15552232426</v>
      </c>
      <c r="G645" s="11">
        <v>6342.2345652638323</v>
      </c>
      <c r="H645" s="20">
        <f t="shared" si="38"/>
        <v>300000</v>
      </c>
      <c r="I645" s="17">
        <f t="shared" si="39"/>
        <v>-56043.580431531765</v>
      </c>
    </row>
    <row r="646" spans="1:9" x14ac:dyDescent="0.35">
      <c r="A646" s="11">
        <v>15414.563432721945</v>
      </c>
      <c r="B646" s="20">
        <f t="shared" si="36"/>
        <v>300000</v>
      </c>
      <c r="C646" s="17">
        <f t="shared" si="37"/>
        <v>550000</v>
      </c>
      <c r="G646" s="11">
        <v>4828.3639027069912</v>
      </c>
      <c r="H646" s="20">
        <f t="shared" si="38"/>
        <v>241418.19513534955</v>
      </c>
      <c r="I646" s="17">
        <f t="shared" si="39"/>
        <v>-162014.52681051061</v>
      </c>
    </row>
    <row r="647" spans="1:9" x14ac:dyDescent="0.35">
      <c r="A647" s="11">
        <v>16764.854884487442</v>
      </c>
      <c r="B647" s="20">
        <f t="shared" si="36"/>
        <v>300000</v>
      </c>
      <c r="C647" s="17">
        <f t="shared" si="37"/>
        <v>550000</v>
      </c>
      <c r="G647" s="11">
        <v>4863.0024109622482</v>
      </c>
      <c r="H647" s="20">
        <f t="shared" si="38"/>
        <v>243150.12054811241</v>
      </c>
      <c r="I647" s="17">
        <f t="shared" si="39"/>
        <v>-159589.83123264264</v>
      </c>
    </row>
    <row r="648" spans="1:9" x14ac:dyDescent="0.35">
      <c r="A648" s="11">
        <v>15168.431653798028</v>
      </c>
      <c r="B648" s="20">
        <f t="shared" si="36"/>
        <v>300000</v>
      </c>
      <c r="C648" s="17">
        <f t="shared" si="37"/>
        <v>550000</v>
      </c>
      <c r="G648" s="11">
        <v>5629.9325540940581</v>
      </c>
      <c r="H648" s="20">
        <f t="shared" si="38"/>
        <v>281496.6277047029</v>
      </c>
      <c r="I648" s="17">
        <f t="shared" si="39"/>
        <v>-105904.72121341591</v>
      </c>
    </row>
    <row r="649" spans="1:9" x14ac:dyDescent="0.35">
      <c r="A649" s="11">
        <v>16644.459364604634</v>
      </c>
      <c r="B649" s="20">
        <f t="shared" si="36"/>
        <v>300000</v>
      </c>
      <c r="C649" s="17">
        <f t="shared" si="37"/>
        <v>550000</v>
      </c>
      <c r="G649" s="11">
        <v>6163.2435071871096</v>
      </c>
      <c r="H649" s="20">
        <f t="shared" si="38"/>
        <v>300000</v>
      </c>
      <c r="I649" s="17">
        <f t="shared" si="39"/>
        <v>-68572.954496902355</v>
      </c>
    </row>
    <row r="650" spans="1:9" x14ac:dyDescent="0.35">
      <c r="A650" s="11">
        <v>12505.691702017273</v>
      </c>
      <c r="B650" s="20">
        <f t="shared" si="36"/>
        <v>300000</v>
      </c>
      <c r="C650" s="17">
        <f t="shared" si="37"/>
        <v>375398.4191412091</v>
      </c>
      <c r="G650" s="11">
        <v>7221.4728232673115</v>
      </c>
      <c r="H650" s="20">
        <f t="shared" si="38"/>
        <v>300000</v>
      </c>
      <c r="I650" s="17">
        <f t="shared" si="39"/>
        <v>5503.097628711781</v>
      </c>
    </row>
    <row r="651" spans="1:9" x14ac:dyDescent="0.35">
      <c r="A651" s="11">
        <v>15506.424146244697</v>
      </c>
      <c r="B651" s="20">
        <f t="shared" si="36"/>
        <v>300000</v>
      </c>
      <c r="C651" s="17">
        <f t="shared" si="37"/>
        <v>550000</v>
      </c>
      <c r="G651" s="11">
        <v>5093.1119724112668</v>
      </c>
      <c r="H651" s="20">
        <f t="shared" si="38"/>
        <v>254655.59862056334</v>
      </c>
      <c r="I651" s="17">
        <f t="shared" si="39"/>
        <v>-143482.1619312113</v>
      </c>
    </row>
    <row r="652" spans="1:9" x14ac:dyDescent="0.35">
      <c r="A652" s="11">
        <v>12891.598254341257</v>
      </c>
      <c r="B652" s="20">
        <f t="shared" si="36"/>
        <v>300000</v>
      </c>
      <c r="C652" s="17">
        <f t="shared" si="37"/>
        <v>402411.87780388806</v>
      </c>
      <c r="G652" s="11">
        <v>3776.2382885219886</v>
      </c>
      <c r="H652" s="20">
        <f t="shared" si="38"/>
        <v>188811.91442609942</v>
      </c>
      <c r="I652" s="17">
        <f t="shared" si="39"/>
        <v>-235663.31980346079</v>
      </c>
    </row>
    <row r="653" spans="1:9" x14ac:dyDescent="0.35">
      <c r="A653" s="11">
        <v>14647.785882137516</v>
      </c>
      <c r="B653" s="20">
        <f t="shared" si="36"/>
        <v>300000</v>
      </c>
      <c r="C653" s="17">
        <f t="shared" si="37"/>
        <v>525345.01174962614</v>
      </c>
      <c r="G653" s="11">
        <v>7021.4239936521499</v>
      </c>
      <c r="H653" s="20">
        <f t="shared" si="38"/>
        <v>300000</v>
      </c>
      <c r="I653" s="17">
        <f t="shared" si="39"/>
        <v>-8500.3204443494906</v>
      </c>
    </row>
    <row r="654" spans="1:9" x14ac:dyDescent="0.35">
      <c r="A654" s="11">
        <v>15923.001800592059</v>
      </c>
      <c r="B654" s="20">
        <f t="shared" si="36"/>
        <v>300000</v>
      </c>
      <c r="C654" s="17">
        <f t="shared" si="37"/>
        <v>550000</v>
      </c>
      <c r="G654" s="11">
        <v>3335.0932340464492</v>
      </c>
      <c r="H654" s="20">
        <f t="shared" si="38"/>
        <v>166754.66170232245</v>
      </c>
      <c r="I654" s="17">
        <f t="shared" si="39"/>
        <v>-266543.47361674858</v>
      </c>
    </row>
    <row r="655" spans="1:9" x14ac:dyDescent="0.35">
      <c r="A655" s="11">
        <v>15130.436109500411</v>
      </c>
      <c r="B655" s="20">
        <f t="shared" si="36"/>
        <v>300000</v>
      </c>
      <c r="C655" s="17">
        <f t="shared" si="37"/>
        <v>550000</v>
      </c>
      <c r="G655" s="11">
        <v>6946.958830530717</v>
      </c>
      <c r="H655" s="20">
        <f t="shared" si="38"/>
        <v>300000</v>
      </c>
      <c r="I655" s="17">
        <f t="shared" si="39"/>
        <v>-13712.881862849812</v>
      </c>
    </row>
    <row r="656" spans="1:9" x14ac:dyDescent="0.35">
      <c r="A656" s="11">
        <v>12917.996765037995</v>
      </c>
      <c r="B656" s="20">
        <f t="shared" si="36"/>
        <v>300000</v>
      </c>
      <c r="C656" s="17">
        <f t="shared" si="37"/>
        <v>404259.77355265967</v>
      </c>
      <c r="G656" s="11">
        <v>3849.9404889065218</v>
      </c>
      <c r="H656" s="20">
        <f t="shared" si="38"/>
        <v>192497.0244453261</v>
      </c>
      <c r="I656" s="17">
        <f t="shared" si="39"/>
        <v>-230504.16577654349</v>
      </c>
    </row>
    <row r="657" spans="1:9" x14ac:dyDescent="0.35">
      <c r="A657" s="11">
        <v>12297.555467390972</v>
      </c>
      <c r="B657" s="20">
        <f t="shared" si="36"/>
        <v>300000</v>
      </c>
      <c r="C657" s="17">
        <f t="shared" si="37"/>
        <v>360828.88271736808</v>
      </c>
      <c r="G657" s="11">
        <v>6232.3679311502419</v>
      </c>
      <c r="H657" s="20">
        <f t="shared" si="38"/>
        <v>300000</v>
      </c>
      <c r="I657" s="17">
        <f t="shared" si="39"/>
        <v>-63734.244819483079</v>
      </c>
    </row>
    <row r="658" spans="1:9" x14ac:dyDescent="0.35">
      <c r="A658" s="11">
        <v>16514.297921689504</v>
      </c>
      <c r="B658" s="20">
        <f t="shared" si="36"/>
        <v>300000</v>
      </c>
      <c r="C658" s="17">
        <f t="shared" si="37"/>
        <v>550000</v>
      </c>
      <c r="G658" s="11">
        <v>3392.6206244087039</v>
      </c>
      <c r="H658" s="20">
        <f t="shared" si="38"/>
        <v>169631.03122043519</v>
      </c>
      <c r="I658" s="17">
        <f t="shared" si="39"/>
        <v>-262516.55629139073</v>
      </c>
    </row>
    <row r="659" spans="1:9" x14ac:dyDescent="0.35">
      <c r="A659" s="11">
        <v>12548.11243018891</v>
      </c>
      <c r="B659" s="20">
        <f t="shared" si="36"/>
        <v>300000</v>
      </c>
      <c r="C659" s="17">
        <f t="shared" si="37"/>
        <v>378367.87011322367</v>
      </c>
      <c r="G659" s="11">
        <v>5744.2243720816678</v>
      </c>
      <c r="H659" s="20">
        <f t="shared" si="38"/>
        <v>287211.21860408341</v>
      </c>
      <c r="I659" s="17">
        <f t="shared" si="39"/>
        <v>-97904.293954283232</v>
      </c>
    </row>
    <row r="660" spans="1:9" x14ac:dyDescent="0.35">
      <c r="A660" s="11">
        <v>13646.015808587908</v>
      </c>
      <c r="B660" s="20">
        <f t="shared" si="36"/>
        <v>300000</v>
      </c>
      <c r="C660" s="17">
        <f t="shared" si="37"/>
        <v>455221.10660115362</v>
      </c>
      <c r="G660" s="11">
        <v>4426.1299478133487</v>
      </c>
      <c r="H660" s="20">
        <f t="shared" si="38"/>
        <v>221306.49739066744</v>
      </c>
      <c r="I660" s="17">
        <f t="shared" si="39"/>
        <v>-190170.90365306562</v>
      </c>
    </row>
    <row r="661" spans="1:9" x14ac:dyDescent="0.35">
      <c r="A661" s="11">
        <v>14499.00814844203</v>
      </c>
      <c r="B661" s="20">
        <f t="shared" si="36"/>
        <v>300000</v>
      </c>
      <c r="C661" s="17">
        <f t="shared" si="37"/>
        <v>514930.57039094204</v>
      </c>
      <c r="G661" s="11">
        <v>6969.3899349955745</v>
      </c>
      <c r="H661" s="20">
        <f t="shared" si="38"/>
        <v>300000</v>
      </c>
      <c r="I661" s="17">
        <f t="shared" si="39"/>
        <v>-12142.704550309805</v>
      </c>
    </row>
    <row r="662" spans="1:9" x14ac:dyDescent="0.35">
      <c r="A662" s="11">
        <v>16764.091921750543</v>
      </c>
      <c r="B662" s="20">
        <f t="shared" si="36"/>
        <v>300000</v>
      </c>
      <c r="C662" s="17">
        <f t="shared" si="37"/>
        <v>550000</v>
      </c>
      <c r="G662" s="11">
        <v>3677.5109103671375</v>
      </c>
      <c r="H662" s="20">
        <f t="shared" si="38"/>
        <v>183875.54551835687</v>
      </c>
      <c r="I662" s="17">
        <f t="shared" si="39"/>
        <v>-242574.23627430038</v>
      </c>
    </row>
    <row r="663" spans="1:9" x14ac:dyDescent="0.35">
      <c r="A663" s="11">
        <v>16207.434308908352</v>
      </c>
      <c r="B663" s="20">
        <f t="shared" si="36"/>
        <v>300000</v>
      </c>
      <c r="C663" s="17">
        <f t="shared" si="37"/>
        <v>550000</v>
      </c>
      <c r="G663" s="11">
        <v>7724.2652668843657</v>
      </c>
      <c r="H663" s="20">
        <f t="shared" si="38"/>
        <v>300000</v>
      </c>
      <c r="I663" s="17">
        <f t="shared" si="39"/>
        <v>40698.568681905628</v>
      </c>
    </row>
    <row r="664" spans="1:9" x14ac:dyDescent="0.35">
      <c r="A664" s="11">
        <v>14530.899990844448</v>
      </c>
      <c r="B664" s="20">
        <f t="shared" si="36"/>
        <v>300000</v>
      </c>
      <c r="C664" s="17">
        <f t="shared" si="37"/>
        <v>517162.9993591113</v>
      </c>
      <c r="G664" s="11">
        <v>4015.3508102664264</v>
      </c>
      <c r="H664" s="20">
        <f t="shared" si="38"/>
        <v>200767.54051332132</v>
      </c>
      <c r="I664" s="17">
        <f t="shared" si="39"/>
        <v>-218925.44328135013</v>
      </c>
    </row>
    <row r="665" spans="1:9" x14ac:dyDescent="0.35">
      <c r="A665" s="11">
        <v>15993.957335123752</v>
      </c>
      <c r="B665" s="20">
        <f t="shared" si="36"/>
        <v>300000</v>
      </c>
      <c r="C665" s="17">
        <f t="shared" si="37"/>
        <v>550000</v>
      </c>
      <c r="G665" s="11">
        <v>4513.5654774620807</v>
      </c>
      <c r="H665" s="20">
        <f t="shared" si="38"/>
        <v>225678.27387310404</v>
      </c>
      <c r="I665" s="17">
        <f t="shared" si="39"/>
        <v>-184050.41657765437</v>
      </c>
    </row>
    <row r="666" spans="1:9" x14ac:dyDescent="0.35">
      <c r="A666" s="11">
        <v>15623.157444990387</v>
      </c>
      <c r="B666" s="20">
        <f t="shared" si="36"/>
        <v>300000</v>
      </c>
      <c r="C666" s="17">
        <f t="shared" si="37"/>
        <v>550000</v>
      </c>
      <c r="G666" s="11">
        <v>3406.9643238624226</v>
      </c>
      <c r="H666" s="20">
        <f t="shared" si="38"/>
        <v>170348.21619312113</v>
      </c>
      <c r="I666" s="17">
        <f t="shared" si="39"/>
        <v>-261512.49732963042</v>
      </c>
    </row>
    <row r="667" spans="1:9" x14ac:dyDescent="0.35">
      <c r="A667" s="11">
        <v>12226.752525406659</v>
      </c>
      <c r="B667" s="20">
        <f t="shared" si="36"/>
        <v>300000</v>
      </c>
      <c r="C667" s="17">
        <f t="shared" si="37"/>
        <v>355872.67677846609</v>
      </c>
      <c r="G667" s="11">
        <v>7552.140873439741</v>
      </c>
      <c r="H667" s="20">
        <f t="shared" si="38"/>
        <v>300000</v>
      </c>
      <c r="I667" s="17">
        <f t="shared" si="39"/>
        <v>28649.861140781897</v>
      </c>
    </row>
    <row r="668" spans="1:9" x14ac:dyDescent="0.35">
      <c r="A668" s="11">
        <v>15802.30109561449</v>
      </c>
      <c r="B668" s="20">
        <f t="shared" si="36"/>
        <v>300000</v>
      </c>
      <c r="C668" s="17">
        <f t="shared" si="37"/>
        <v>550000</v>
      </c>
      <c r="G668" s="11">
        <v>4172.215948973052</v>
      </c>
      <c r="H668" s="20">
        <f t="shared" si="38"/>
        <v>208610.79744865259</v>
      </c>
      <c r="I668" s="17">
        <f t="shared" si="39"/>
        <v>-207944.88357188634</v>
      </c>
    </row>
    <row r="669" spans="1:9" x14ac:dyDescent="0.35">
      <c r="A669" s="11">
        <v>12833.307901242104</v>
      </c>
      <c r="B669" s="20">
        <f t="shared" si="36"/>
        <v>300000</v>
      </c>
      <c r="C669" s="17">
        <f t="shared" si="37"/>
        <v>398331.5530869473</v>
      </c>
      <c r="G669" s="11">
        <v>5053.8956877346109</v>
      </c>
      <c r="H669" s="20">
        <f t="shared" si="38"/>
        <v>252694.78438673055</v>
      </c>
      <c r="I669" s="17">
        <f t="shared" si="39"/>
        <v>-146227.30185857724</v>
      </c>
    </row>
    <row r="670" spans="1:9" x14ac:dyDescent="0.35">
      <c r="A670" s="11">
        <v>12215.002899258399</v>
      </c>
      <c r="B670" s="20">
        <f t="shared" si="36"/>
        <v>300000</v>
      </c>
      <c r="C670" s="17">
        <f t="shared" si="37"/>
        <v>355050.20294808794</v>
      </c>
      <c r="G670" s="11">
        <v>3958.8915677358318</v>
      </c>
      <c r="H670" s="20">
        <f t="shared" si="38"/>
        <v>197944.5783867916</v>
      </c>
      <c r="I670" s="17">
        <f t="shared" si="39"/>
        <v>-222877.59025849175</v>
      </c>
    </row>
    <row r="671" spans="1:9" x14ac:dyDescent="0.35">
      <c r="A671" s="11">
        <v>13901.760917996766</v>
      </c>
      <c r="B671" s="20">
        <f t="shared" si="36"/>
        <v>300000</v>
      </c>
      <c r="C671" s="17">
        <f t="shared" si="37"/>
        <v>473123.26425977366</v>
      </c>
      <c r="G671" s="11">
        <v>3762.96273689993</v>
      </c>
      <c r="H671" s="20">
        <f t="shared" si="38"/>
        <v>188148.13684499651</v>
      </c>
      <c r="I671" s="17">
        <f t="shared" si="39"/>
        <v>-236592.60841700493</v>
      </c>
    </row>
    <row r="672" spans="1:9" x14ac:dyDescent="0.35">
      <c r="A672" s="11">
        <v>13074.404126102481</v>
      </c>
      <c r="B672" s="20">
        <f t="shared" si="36"/>
        <v>300000</v>
      </c>
      <c r="C672" s="17">
        <f t="shared" si="37"/>
        <v>415208.28882717364</v>
      </c>
      <c r="G672" s="11">
        <v>3785.088656270028</v>
      </c>
      <c r="H672" s="20">
        <f t="shared" si="38"/>
        <v>189254.43281350139</v>
      </c>
      <c r="I672" s="17">
        <f t="shared" si="39"/>
        <v>-235043.79406109801</v>
      </c>
    </row>
    <row r="673" spans="1:9" x14ac:dyDescent="0.35">
      <c r="A673" s="11">
        <v>14173.680837427901</v>
      </c>
      <c r="B673" s="20">
        <f t="shared" si="36"/>
        <v>300000</v>
      </c>
      <c r="C673" s="17">
        <f t="shared" si="37"/>
        <v>492157.65861995309</v>
      </c>
      <c r="G673" s="11">
        <v>5940.9161656544693</v>
      </c>
      <c r="H673" s="20">
        <f t="shared" si="38"/>
        <v>297045.80828272348</v>
      </c>
      <c r="I673" s="17">
        <f t="shared" si="39"/>
        <v>-84135.868404187146</v>
      </c>
    </row>
    <row r="674" spans="1:9" x14ac:dyDescent="0.35">
      <c r="A674" s="11">
        <v>13576.586199530015</v>
      </c>
      <c r="B674" s="20">
        <f t="shared" ref="B674:B737" si="40">50*MIN(6000,A674)</f>
        <v>300000</v>
      </c>
      <c r="C674" s="17">
        <f t="shared" ref="C674:C737" si="41">70*MIN(15000,A674)-500000</f>
        <v>450361.03396710102</v>
      </c>
      <c r="G674" s="11">
        <v>3732.7494125186927</v>
      </c>
      <c r="H674" s="20">
        <f t="shared" ref="H674:H737" si="42">50*MIN(6000,G674)</f>
        <v>186637.47062593463</v>
      </c>
      <c r="I674" s="17">
        <f t="shared" ref="I674:I737" si="43">70*MIN(15000,G674)-500000</f>
        <v>-238707.54112369151</v>
      </c>
    </row>
    <row r="675" spans="1:9" x14ac:dyDescent="0.35">
      <c r="A675" s="11">
        <v>14109.744560075686</v>
      </c>
      <c r="B675" s="20">
        <f t="shared" si="40"/>
        <v>300000</v>
      </c>
      <c r="C675" s="17">
        <f t="shared" si="41"/>
        <v>487682.11920529802</v>
      </c>
      <c r="G675" s="11">
        <v>7303.7202063051236</v>
      </c>
      <c r="H675" s="20">
        <f t="shared" si="42"/>
        <v>300000</v>
      </c>
      <c r="I675" s="17">
        <f t="shared" si="43"/>
        <v>11260.414441358647</v>
      </c>
    </row>
    <row r="676" spans="1:9" x14ac:dyDescent="0.35">
      <c r="A676" s="11">
        <v>13254.921109653005</v>
      </c>
      <c r="B676" s="20">
        <f t="shared" si="40"/>
        <v>300000</v>
      </c>
      <c r="C676" s="17">
        <f t="shared" si="41"/>
        <v>427844.47767571034</v>
      </c>
      <c r="G676" s="11">
        <v>4079.4396801660205</v>
      </c>
      <c r="H676" s="20">
        <f t="shared" si="42"/>
        <v>203971.98400830102</v>
      </c>
      <c r="I676" s="17">
        <f t="shared" si="43"/>
        <v>-214439.22238837858</v>
      </c>
    </row>
    <row r="677" spans="1:9" x14ac:dyDescent="0.35">
      <c r="A677" s="11">
        <v>15173.924985503709</v>
      </c>
      <c r="B677" s="20">
        <f t="shared" si="40"/>
        <v>300000</v>
      </c>
      <c r="C677" s="17">
        <f t="shared" si="41"/>
        <v>550000</v>
      </c>
      <c r="G677" s="11">
        <v>3803.0945768608663</v>
      </c>
      <c r="H677" s="20">
        <f t="shared" si="42"/>
        <v>190154.72884304333</v>
      </c>
      <c r="I677" s="17">
        <f t="shared" si="43"/>
        <v>-233783.37961973937</v>
      </c>
    </row>
    <row r="678" spans="1:9" x14ac:dyDescent="0.35">
      <c r="A678" s="11">
        <v>14086.092715231789</v>
      </c>
      <c r="B678" s="20">
        <f t="shared" si="40"/>
        <v>300000</v>
      </c>
      <c r="C678" s="17">
        <f t="shared" si="41"/>
        <v>486026.49006622517</v>
      </c>
      <c r="G678" s="11">
        <v>4427.1980956450088</v>
      </c>
      <c r="H678" s="20">
        <f t="shared" si="42"/>
        <v>221359.90478225044</v>
      </c>
      <c r="I678" s="17">
        <f t="shared" si="43"/>
        <v>-190096.13330484938</v>
      </c>
    </row>
    <row r="679" spans="1:9" x14ac:dyDescent="0.35">
      <c r="A679" s="11">
        <v>12647.14499343852</v>
      </c>
      <c r="B679" s="20">
        <f t="shared" si="40"/>
        <v>300000</v>
      </c>
      <c r="C679" s="17">
        <f t="shared" si="41"/>
        <v>385300.14954069641</v>
      </c>
      <c r="G679" s="11">
        <v>5824.0302743614011</v>
      </c>
      <c r="H679" s="20">
        <f t="shared" si="42"/>
        <v>291201.51371807005</v>
      </c>
      <c r="I679" s="17">
        <f t="shared" si="43"/>
        <v>-92317.880794701923</v>
      </c>
    </row>
    <row r="680" spans="1:9" x14ac:dyDescent="0.35">
      <c r="A680" s="11">
        <v>15658.253730887784</v>
      </c>
      <c r="B680" s="20">
        <f t="shared" si="40"/>
        <v>300000</v>
      </c>
      <c r="C680" s="17">
        <f t="shared" si="41"/>
        <v>550000</v>
      </c>
      <c r="G680" s="11">
        <v>6365.2760399182098</v>
      </c>
      <c r="H680" s="20">
        <f t="shared" si="42"/>
        <v>300000</v>
      </c>
      <c r="I680" s="17">
        <f t="shared" si="43"/>
        <v>-54430.67720572534</v>
      </c>
    </row>
    <row r="681" spans="1:9" x14ac:dyDescent="0.35">
      <c r="A681" s="11">
        <v>14279.427472762231</v>
      </c>
      <c r="B681" s="20">
        <f t="shared" si="40"/>
        <v>300000</v>
      </c>
      <c r="C681" s="17">
        <f t="shared" si="41"/>
        <v>499559.92309335619</v>
      </c>
      <c r="G681" s="11">
        <v>4430.4025391399882</v>
      </c>
      <c r="H681" s="20">
        <f t="shared" si="42"/>
        <v>221520.12695699942</v>
      </c>
      <c r="I681" s="17">
        <f t="shared" si="43"/>
        <v>-189871.8222602008</v>
      </c>
    </row>
    <row r="682" spans="1:9" x14ac:dyDescent="0.35">
      <c r="A682" s="11">
        <v>16739.371929074983</v>
      </c>
      <c r="B682" s="20">
        <f t="shared" si="40"/>
        <v>300000</v>
      </c>
      <c r="C682" s="17">
        <f t="shared" si="41"/>
        <v>550000</v>
      </c>
      <c r="G682" s="11">
        <v>7015.1676992095709</v>
      </c>
      <c r="H682" s="20">
        <f t="shared" si="42"/>
        <v>300000</v>
      </c>
      <c r="I682" s="17">
        <f t="shared" si="43"/>
        <v>-8938.2610553300474</v>
      </c>
    </row>
    <row r="683" spans="1:9" x14ac:dyDescent="0.35">
      <c r="A683" s="11">
        <v>13029.084139530625</v>
      </c>
      <c r="B683" s="20">
        <f t="shared" si="40"/>
        <v>300000</v>
      </c>
      <c r="C683" s="17">
        <f t="shared" si="41"/>
        <v>412035.88976714376</v>
      </c>
      <c r="G683" s="11">
        <v>3878.780480361339</v>
      </c>
      <c r="H683" s="20">
        <f t="shared" si="42"/>
        <v>193939.02401806694</v>
      </c>
      <c r="I683" s="17">
        <f t="shared" si="43"/>
        <v>-228485.36637470627</v>
      </c>
    </row>
    <row r="684" spans="1:9" x14ac:dyDescent="0.35">
      <c r="A684" s="11">
        <v>14731.101413006989</v>
      </c>
      <c r="B684" s="20">
        <f t="shared" si="40"/>
        <v>300000</v>
      </c>
      <c r="C684" s="17">
        <f t="shared" si="41"/>
        <v>531177.09891048924</v>
      </c>
      <c r="G684" s="11">
        <v>7059.1143528550065</v>
      </c>
      <c r="H684" s="20">
        <f t="shared" si="42"/>
        <v>300000</v>
      </c>
      <c r="I684" s="17">
        <f t="shared" si="43"/>
        <v>-5861.9953001495451</v>
      </c>
    </row>
    <row r="685" spans="1:9" x14ac:dyDescent="0.35">
      <c r="A685" s="11">
        <v>15671.987060151981</v>
      </c>
      <c r="B685" s="20">
        <f t="shared" si="40"/>
        <v>300000</v>
      </c>
      <c r="C685" s="17">
        <f t="shared" si="41"/>
        <v>550000</v>
      </c>
      <c r="G685" s="11">
        <v>5831.2021240882596</v>
      </c>
      <c r="H685" s="20">
        <f t="shared" si="42"/>
        <v>291560.10620441299</v>
      </c>
      <c r="I685" s="17">
        <f t="shared" si="43"/>
        <v>-91815.851313821855</v>
      </c>
    </row>
    <row r="686" spans="1:9" x14ac:dyDescent="0.35">
      <c r="A686" s="11">
        <v>13926.175725577563</v>
      </c>
      <c r="B686" s="20">
        <f t="shared" si="40"/>
        <v>300000</v>
      </c>
      <c r="C686" s="17">
        <f t="shared" si="41"/>
        <v>474832.30079042935</v>
      </c>
      <c r="G686" s="11">
        <v>3196.691793572802</v>
      </c>
      <c r="H686" s="20">
        <f t="shared" si="42"/>
        <v>159834.5896786401</v>
      </c>
      <c r="I686" s="17">
        <f t="shared" si="43"/>
        <v>-276231.57444990386</v>
      </c>
    </row>
    <row r="687" spans="1:9" x14ac:dyDescent="0.35">
      <c r="A687" s="11">
        <v>15784.142582476272</v>
      </c>
      <c r="B687" s="20">
        <f t="shared" si="40"/>
        <v>300000</v>
      </c>
      <c r="C687" s="17">
        <f t="shared" si="41"/>
        <v>550000</v>
      </c>
      <c r="G687" s="11">
        <v>6692.4344615009004</v>
      </c>
      <c r="H687" s="20">
        <f t="shared" si="42"/>
        <v>300000</v>
      </c>
      <c r="I687" s="17">
        <f t="shared" si="43"/>
        <v>-31529.587694936956</v>
      </c>
    </row>
    <row r="688" spans="1:9" x14ac:dyDescent="0.35">
      <c r="A688" s="11">
        <v>13295.510727256082</v>
      </c>
      <c r="B688" s="20">
        <f t="shared" si="40"/>
        <v>300000</v>
      </c>
      <c r="C688" s="17">
        <f t="shared" si="41"/>
        <v>430685.75090792577</v>
      </c>
      <c r="G688" s="11">
        <v>7013.6417737357706</v>
      </c>
      <c r="H688" s="20">
        <f t="shared" si="42"/>
        <v>300000</v>
      </c>
      <c r="I688" s="17">
        <f t="shared" si="43"/>
        <v>-9045.0758384960354</v>
      </c>
    </row>
    <row r="689" spans="1:9" x14ac:dyDescent="0.35">
      <c r="A689" s="11">
        <v>15165.227210303048</v>
      </c>
      <c r="B689" s="20">
        <f t="shared" si="40"/>
        <v>300000</v>
      </c>
      <c r="C689" s="17">
        <f t="shared" si="41"/>
        <v>550000</v>
      </c>
      <c r="G689" s="11">
        <v>3369.4265572069462</v>
      </c>
      <c r="H689" s="20">
        <f t="shared" si="42"/>
        <v>168471.32786034732</v>
      </c>
      <c r="I689" s="17">
        <f t="shared" si="43"/>
        <v>-264140.14099551376</v>
      </c>
    </row>
    <row r="690" spans="1:9" x14ac:dyDescent="0.35">
      <c r="A690" s="11">
        <v>12865.657521286661</v>
      </c>
      <c r="B690" s="20">
        <f t="shared" si="40"/>
        <v>300000</v>
      </c>
      <c r="C690" s="17">
        <f t="shared" si="41"/>
        <v>400596.02649006632</v>
      </c>
      <c r="G690" s="11">
        <v>5612.38441114536</v>
      </c>
      <c r="H690" s="20">
        <f t="shared" si="42"/>
        <v>280619.22055726801</v>
      </c>
      <c r="I690" s="17">
        <f t="shared" si="43"/>
        <v>-107133.0912198248</v>
      </c>
    </row>
    <row r="691" spans="1:9" x14ac:dyDescent="0.35">
      <c r="A691" s="11">
        <v>12772.576067384869</v>
      </c>
      <c r="B691" s="20">
        <f t="shared" si="40"/>
        <v>300000</v>
      </c>
      <c r="C691" s="17">
        <f t="shared" si="41"/>
        <v>394080.32471694087</v>
      </c>
      <c r="G691" s="11">
        <v>7644.9171422467725</v>
      </c>
      <c r="H691" s="20">
        <f t="shared" si="42"/>
        <v>300000</v>
      </c>
      <c r="I691" s="17">
        <f t="shared" si="43"/>
        <v>35144.199957274133</v>
      </c>
    </row>
    <row r="692" spans="1:9" x14ac:dyDescent="0.35">
      <c r="A692" s="11">
        <v>12715.201269569994</v>
      </c>
      <c r="B692" s="20">
        <f t="shared" si="40"/>
        <v>300000</v>
      </c>
      <c r="C692" s="17">
        <f t="shared" si="41"/>
        <v>390064.08886989963</v>
      </c>
      <c r="G692" s="11">
        <v>4684.7743156224251</v>
      </c>
      <c r="H692" s="20">
        <f t="shared" si="42"/>
        <v>234238.71578112125</v>
      </c>
      <c r="I692" s="17">
        <f t="shared" si="43"/>
        <v>-172065.79790643026</v>
      </c>
    </row>
    <row r="693" spans="1:9" x14ac:dyDescent="0.35">
      <c r="A693" s="11">
        <v>15330.484939115573</v>
      </c>
      <c r="B693" s="20">
        <f t="shared" si="40"/>
        <v>300000</v>
      </c>
      <c r="C693" s="17">
        <f t="shared" si="41"/>
        <v>550000</v>
      </c>
      <c r="G693" s="11">
        <v>3388.9584032715843</v>
      </c>
      <c r="H693" s="20">
        <f t="shared" si="42"/>
        <v>169447.92016357923</v>
      </c>
      <c r="I693" s="17">
        <f t="shared" si="43"/>
        <v>-262772.91177098907</v>
      </c>
    </row>
    <row r="694" spans="1:9" x14ac:dyDescent="0.35">
      <c r="A694" s="11">
        <v>13355.937376018555</v>
      </c>
      <c r="B694" s="20">
        <f t="shared" si="40"/>
        <v>300000</v>
      </c>
      <c r="C694" s="17">
        <f t="shared" si="41"/>
        <v>434915.61632129888</v>
      </c>
      <c r="G694" s="11">
        <v>7596.8504898220772</v>
      </c>
      <c r="H694" s="20">
        <f t="shared" si="42"/>
        <v>300000</v>
      </c>
      <c r="I694" s="17">
        <f t="shared" si="43"/>
        <v>31779.534287545364</v>
      </c>
    </row>
    <row r="695" spans="1:9" x14ac:dyDescent="0.35">
      <c r="A695" s="11">
        <v>14563.859981078524</v>
      </c>
      <c r="B695" s="20">
        <f t="shared" si="40"/>
        <v>300000</v>
      </c>
      <c r="C695" s="17">
        <f t="shared" si="41"/>
        <v>519470.19867549662</v>
      </c>
      <c r="G695" s="11">
        <v>7134.9528489028598</v>
      </c>
      <c r="H695" s="20">
        <f t="shared" si="42"/>
        <v>300000</v>
      </c>
      <c r="I695" s="17">
        <f t="shared" si="43"/>
        <v>-553.30057679978199</v>
      </c>
    </row>
    <row r="696" spans="1:9" x14ac:dyDescent="0.35">
      <c r="A696" s="11">
        <v>13892.452772606586</v>
      </c>
      <c r="B696" s="20">
        <f t="shared" si="40"/>
        <v>300000</v>
      </c>
      <c r="C696" s="17">
        <f t="shared" si="41"/>
        <v>472471.69408246106</v>
      </c>
      <c r="G696" s="11">
        <v>5168.0349131748408</v>
      </c>
      <c r="H696" s="20">
        <f t="shared" si="42"/>
        <v>258401.74565874203</v>
      </c>
      <c r="I696" s="17">
        <f t="shared" si="43"/>
        <v>-138237.55607776117</v>
      </c>
    </row>
    <row r="697" spans="1:9" x14ac:dyDescent="0.35">
      <c r="A697" s="11">
        <v>13131.626331369976</v>
      </c>
      <c r="B697" s="20">
        <f t="shared" si="40"/>
        <v>300000</v>
      </c>
      <c r="C697" s="17">
        <f t="shared" si="41"/>
        <v>419213.84319589834</v>
      </c>
      <c r="G697" s="11">
        <v>4229.1329691457868</v>
      </c>
      <c r="H697" s="20">
        <f t="shared" si="42"/>
        <v>211456.64845728932</v>
      </c>
      <c r="I697" s="17">
        <f t="shared" si="43"/>
        <v>-203960.69215979491</v>
      </c>
    </row>
    <row r="698" spans="1:9" x14ac:dyDescent="0.35">
      <c r="A698" s="11">
        <v>12994.445631275368</v>
      </c>
      <c r="B698" s="20">
        <f t="shared" si="40"/>
        <v>300000</v>
      </c>
      <c r="C698" s="17">
        <f t="shared" si="41"/>
        <v>409611.19418927573</v>
      </c>
      <c r="G698" s="11">
        <v>5755.2110354930264</v>
      </c>
      <c r="H698" s="20">
        <f t="shared" si="42"/>
        <v>287760.55177465134</v>
      </c>
      <c r="I698" s="17">
        <f t="shared" si="43"/>
        <v>-97135.227515488164</v>
      </c>
    </row>
    <row r="699" spans="1:9" x14ac:dyDescent="0.35">
      <c r="A699" s="11">
        <v>15399.761955626087</v>
      </c>
      <c r="B699" s="20">
        <f t="shared" si="40"/>
        <v>300000</v>
      </c>
      <c r="C699" s="17">
        <f t="shared" si="41"/>
        <v>550000</v>
      </c>
      <c r="G699" s="11">
        <v>7976.195562608722</v>
      </c>
      <c r="H699" s="20">
        <f t="shared" si="42"/>
        <v>300000</v>
      </c>
      <c r="I699" s="17">
        <f t="shared" si="43"/>
        <v>58333.689382610493</v>
      </c>
    </row>
    <row r="700" spans="1:9" x14ac:dyDescent="0.35">
      <c r="A700" s="11">
        <v>15501.083407086398</v>
      </c>
      <c r="B700" s="20">
        <f t="shared" si="40"/>
        <v>300000</v>
      </c>
      <c r="C700" s="17">
        <f t="shared" si="41"/>
        <v>550000</v>
      </c>
      <c r="G700" s="11">
        <v>4634.7239600817893</v>
      </c>
      <c r="H700" s="20">
        <f t="shared" si="42"/>
        <v>231736.19800408947</v>
      </c>
      <c r="I700" s="17">
        <f t="shared" si="43"/>
        <v>-175569.32279427478</v>
      </c>
    </row>
    <row r="701" spans="1:9" x14ac:dyDescent="0.35">
      <c r="A701" s="11">
        <v>15850.825525681325</v>
      </c>
      <c r="B701" s="20">
        <f t="shared" si="40"/>
        <v>300000</v>
      </c>
      <c r="C701" s="17">
        <f t="shared" si="41"/>
        <v>550000</v>
      </c>
      <c r="G701" s="11">
        <v>6040.2539139988403</v>
      </c>
      <c r="H701" s="20">
        <f t="shared" si="42"/>
        <v>300000</v>
      </c>
      <c r="I701" s="17">
        <f t="shared" si="43"/>
        <v>-77182.226020081202</v>
      </c>
    </row>
    <row r="702" spans="1:9" x14ac:dyDescent="0.35">
      <c r="A702" s="11">
        <v>12524.765770439772</v>
      </c>
      <c r="B702" s="20">
        <f t="shared" si="40"/>
        <v>300000</v>
      </c>
      <c r="C702" s="17">
        <f t="shared" si="41"/>
        <v>376733.60393078404</v>
      </c>
      <c r="G702" s="11">
        <v>6143.5590685750904</v>
      </c>
      <c r="H702" s="20">
        <f t="shared" si="42"/>
        <v>300000</v>
      </c>
      <c r="I702" s="17">
        <f t="shared" si="43"/>
        <v>-69950.865199743654</v>
      </c>
    </row>
    <row r="703" spans="1:9" x14ac:dyDescent="0.35">
      <c r="A703" s="11">
        <v>12777.459028901028</v>
      </c>
      <c r="B703" s="20">
        <f t="shared" si="40"/>
        <v>300000</v>
      </c>
      <c r="C703" s="17">
        <f t="shared" si="41"/>
        <v>394422.13202307199</v>
      </c>
      <c r="G703" s="11">
        <v>4982.0245979186375</v>
      </c>
      <c r="H703" s="20">
        <f t="shared" si="42"/>
        <v>249101.22989593187</v>
      </c>
      <c r="I703" s="17">
        <f t="shared" si="43"/>
        <v>-151258.2781456954</v>
      </c>
    </row>
    <row r="704" spans="1:9" x14ac:dyDescent="0.35">
      <c r="A704" s="11">
        <v>13361.430707724234</v>
      </c>
      <c r="B704" s="20">
        <f t="shared" si="40"/>
        <v>300000</v>
      </c>
      <c r="C704" s="17">
        <f t="shared" si="41"/>
        <v>435300.14954069641</v>
      </c>
      <c r="G704" s="11">
        <v>7200.8728293710137</v>
      </c>
      <c r="H704" s="20">
        <f t="shared" si="42"/>
        <v>300000</v>
      </c>
      <c r="I704" s="17">
        <f t="shared" si="43"/>
        <v>4061.0980559709715</v>
      </c>
    </row>
    <row r="705" spans="1:9" x14ac:dyDescent="0.35">
      <c r="A705" s="11">
        <v>13586.809900204475</v>
      </c>
      <c r="B705" s="20">
        <f t="shared" si="40"/>
        <v>300000</v>
      </c>
      <c r="C705" s="17">
        <f t="shared" si="41"/>
        <v>451076.69301431323</v>
      </c>
      <c r="G705" s="11">
        <v>3303.2013916440319</v>
      </c>
      <c r="H705" s="20">
        <f t="shared" si="42"/>
        <v>165160.0695822016</v>
      </c>
      <c r="I705" s="17">
        <f t="shared" si="43"/>
        <v>-268775.90258491773</v>
      </c>
    </row>
    <row r="706" spans="1:9" x14ac:dyDescent="0.35">
      <c r="A706" s="11">
        <v>16468.062379833369</v>
      </c>
      <c r="B706" s="20">
        <f t="shared" si="40"/>
        <v>300000</v>
      </c>
      <c r="C706" s="17">
        <f t="shared" si="41"/>
        <v>550000</v>
      </c>
      <c r="G706" s="11">
        <v>7332.2550126651813</v>
      </c>
      <c r="H706" s="20">
        <f t="shared" si="42"/>
        <v>300000</v>
      </c>
      <c r="I706" s="17">
        <f t="shared" si="43"/>
        <v>13257.850886562665</v>
      </c>
    </row>
    <row r="707" spans="1:9" x14ac:dyDescent="0.35">
      <c r="A707" s="11">
        <v>16183.782464064454</v>
      </c>
      <c r="B707" s="20">
        <f t="shared" si="40"/>
        <v>300000</v>
      </c>
      <c r="C707" s="17">
        <f t="shared" si="41"/>
        <v>550000</v>
      </c>
      <c r="G707" s="11">
        <v>3898.1597338785973</v>
      </c>
      <c r="H707" s="20">
        <f t="shared" si="42"/>
        <v>194907.98669392985</v>
      </c>
      <c r="I707" s="17">
        <f t="shared" si="43"/>
        <v>-227128.81862849818</v>
      </c>
    </row>
    <row r="708" spans="1:9" x14ac:dyDescent="0.35">
      <c r="A708" s="11">
        <v>12366.222113711967</v>
      </c>
      <c r="B708" s="20">
        <f t="shared" si="40"/>
        <v>300000</v>
      </c>
      <c r="C708" s="17">
        <f t="shared" si="41"/>
        <v>365635.54795983771</v>
      </c>
      <c r="G708" s="11">
        <v>3757.4694051942502</v>
      </c>
      <c r="H708" s="20">
        <f t="shared" si="42"/>
        <v>187873.47025971251</v>
      </c>
      <c r="I708" s="17">
        <f t="shared" si="43"/>
        <v>-236977.14163640246</v>
      </c>
    </row>
    <row r="709" spans="1:9" x14ac:dyDescent="0.35">
      <c r="A709" s="11">
        <v>14106.387524033325</v>
      </c>
      <c r="B709" s="20">
        <f t="shared" si="40"/>
        <v>300000</v>
      </c>
      <c r="C709" s="17">
        <f t="shared" si="41"/>
        <v>487447.12668233283</v>
      </c>
      <c r="G709" s="11">
        <v>6462.0197149571213</v>
      </c>
      <c r="H709" s="20">
        <f t="shared" si="42"/>
        <v>300000</v>
      </c>
      <c r="I709" s="17">
        <f t="shared" si="43"/>
        <v>-47658.6199530015</v>
      </c>
    </row>
    <row r="710" spans="1:9" x14ac:dyDescent="0.35">
      <c r="A710" s="11">
        <v>16692.06823938719</v>
      </c>
      <c r="B710" s="20">
        <f t="shared" si="40"/>
        <v>300000</v>
      </c>
      <c r="C710" s="17">
        <f t="shared" si="41"/>
        <v>550000</v>
      </c>
      <c r="G710" s="11">
        <v>6137.7605517746515</v>
      </c>
      <c r="H710" s="20">
        <f t="shared" si="42"/>
        <v>300000</v>
      </c>
      <c r="I710" s="17">
        <f t="shared" si="43"/>
        <v>-70356.761375774397</v>
      </c>
    </row>
    <row r="711" spans="1:9" x14ac:dyDescent="0.35">
      <c r="A711" s="11">
        <v>12009.30814539018</v>
      </c>
      <c r="B711" s="20">
        <f t="shared" si="40"/>
        <v>300000</v>
      </c>
      <c r="C711" s="17">
        <f t="shared" si="41"/>
        <v>340651.57017731259</v>
      </c>
      <c r="G711" s="11">
        <v>7334.8490859706408</v>
      </c>
      <c r="H711" s="20">
        <f t="shared" si="42"/>
        <v>300000</v>
      </c>
      <c r="I711" s="17">
        <f t="shared" si="43"/>
        <v>13439.436017944827</v>
      </c>
    </row>
    <row r="712" spans="1:9" x14ac:dyDescent="0.35">
      <c r="A712" s="11">
        <v>14858.973967711416</v>
      </c>
      <c r="B712" s="20">
        <f t="shared" si="40"/>
        <v>300000</v>
      </c>
      <c r="C712" s="17">
        <f t="shared" si="41"/>
        <v>540128.17773979914</v>
      </c>
      <c r="G712" s="11">
        <v>4797.0824304940943</v>
      </c>
      <c r="H712" s="20">
        <f t="shared" si="42"/>
        <v>239854.12152470471</v>
      </c>
      <c r="I712" s="17">
        <f t="shared" si="43"/>
        <v>-164204.22986541339</v>
      </c>
    </row>
    <row r="713" spans="1:9" x14ac:dyDescent="0.35">
      <c r="A713" s="11">
        <v>13330.912198248237</v>
      </c>
      <c r="B713" s="20">
        <f t="shared" si="40"/>
        <v>300000</v>
      </c>
      <c r="C713" s="17">
        <f t="shared" si="41"/>
        <v>433163.85387737665</v>
      </c>
      <c r="G713" s="11">
        <v>6571.2759788811909</v>
      </c>
      <c r="H713" s="20">
        <f t="shared" si="42"/>
        <v>300000</v>
      </c>
      <c r="I713" s="17">
        <f t="shared" si="43"/>
        <v>-40010.681478316663</v>
      </c>
    </row>
    <row r="714" spans="1:9" x14ac:dyDescent="0.35">
      <c r="A714" s="11">
        <v>14077.394940031128</v>
      </c>
      <c r="B714" s="20">
        <f t="shared" si="40"/>
        <v>300000</v>
      </c>
      <c r="C714" s="17">
        <f t="shared" si="41"/>
        <v>485417.645802179</v>
      </c>
      <c r="G714" s="11">
        <v>4299.7833185827203</v>
      </c>
      <c r="H714" s="20">
        <f t="shared" si="42"/>
        <v>214989.16592913601</v>
      </c>
      <c r="I714" s="17">
        <f t="shared" si="43"/>
        <v>-199015.16769920959</v>
      </c>
    </row>
    <row r="715" spans="1:9" x14ac:dyDescent="0.35">
      <c r="A715" s="11">
        <v>14177.80083620716</v>
      </c>
      <c r="B715" s="20">
        <f t="shared" si="40"/>
        <v>300000</v>
      </c>
      <c r="C715" s="17">
        <f t="shared" si="41"/>
        <v>492446.05853450112</v>
      </c>
      <c r="G715" s="11">
        <v>7858.088930936613</v>
      </c>
      <c r="H715" s="20">
        <f t="shared" si="42"/>
        <v>300000</v>
      </c>
      <c r="I715" s="17">
        <f t="shared" si="43"/>
        <v>50066.225165562937</v>
      </c>
    </row>
    <row r="716" spans="1:9" x14ac:dyDescent="0.35">
      <c r="A716" s="11">
        <v>16874.568926053653</v>
      </c>
      <c r="B716" s="20">
        <f t="shared" si="40"/>
        <v>300000</v>
      </c>
      <c r="C716" s="17">
        <f t="shared" si="41"/>
        <v>550000</v>
      </c>
      <c r="G716" s="11">
        <v>6763.5425885799741</v>
      </c>
      <c r="H716" s="20">
        <f t="shared" si="42"/>
        <v>300000</v>
      </c>
      <c r="I716" s="17">
        <f t="shared" si="43"/>
        <v>-26552.01879940182</v>
      </c>
    </row>
    <row r="717" spans="1:9" x14ac:dyDescent="0.35">
      <c r="A717" s="11">
        <v>12239.112521744439</v>
      </c>
      <c r="B717" s="20">
        <f t="shared" si="40"/>
        <v>300000</v>
      </c>
      <c r="C717" s="17">
        <f t="shared" si="41"/>
        <v>356737.87652211066</v>
      </c>
      <c r="G717" s="11">
        <v>4370.2810754722741</v>
      </c>
      <c r="H717" s="20">
        <f t="shared" si="42"/>
        <v>218514.0537736137</v>
      </c>
      <c r="I717" s="17">
        <f t="shared" si="43"/>
        <v>-194080.32471694081</v>
      </c>
    </row>
    <row r="718" spans="1:9" x14ac:dyDescent="0.35">
      <c r="A718" s="11">
        <v>15934.904019287698</v>
      </c>
      <c r="B718" s="20">
        <f t="shared" si="40"/>
        <v>300000</v>
      </c>
      <c r="C718" s="17">
        <f t="shared" si="41"/>
        <v>550000</v>
      </c>
      <c r="G718" s="11">
        <v>6887.9055146946621</v>
      </c>
      <c r="H718" s="20">
        <f t="shared" si="42"/>
        <v>300000</v>
      </c>
      <c r="I718" s="17">
        <f t="shared" si="43"/>
        <v>-17846.613971373648</v>
      </c>
    </row>
    <row r="719" spans="1:9" x14ac:dyDescent="0.35">
      <c r="A719" s="11">
        <v>12516.830957976012</v>
      </c>
      <c r="B719" s="20">
        <f t="shared" si="40"/>
        <v>300000</v>
      </c>
      <c r="C719" s="17">
        <f t="shared" si="41"/>
        <v>376178.16705832083</v>
      </c>
      <c r="G719" s="11">
        <v>5896.6643269142733</v>
      </c>
      <c r="H719" s="20">
        <f t="shared" si="42"/>
        <v>294833.21634571365</v>
      </c>
      <c r="I719" s="17">
        <f t="shared" si="43"/>
        <v>-87233.497116000857</v>
      </c>
    </row>
    <row r="720" spans="1:9" x14ac:dyDescent="0.35">
      <c r="A720" s="11">
        <v>16148.686178167058</v>
      </c>
      <c r="B720" s="20">
        <f t="shared" si="40"/>
        <v>300000</v>
      </c>
      <c r="C720" s="17">
        <f t="shared" si="41"/>
        <v>550000</v>
      </c>
      <c r="G720" s="11">
        <v>3959.1967528305918</v>
      </c>
      <c r="H720" s="20">
        <f t="shared" si="42"/>
        <v>197959.83764152959</v>
      </c>
      <c r="I720" s="17">
        <f t="shared" si="43"/>
        <v>-222856.2273018586</v>
      </c>
    </row>
    <row r="721" spans="1:9" x14ac:dyDescent="0.35">
      <c r="A721" s="11">
        <v>13466.566972869045</v>
      </c>
      <c r="B721" s="20">
        <f t="shared" si="40"/>
        <v>300000</v>
      </c>
      <c r="C721" s="17">
        <f t="shared" si="41"/>
        <v>442659.6881008331</v>
      </c>
      <c r="G721" s="11">
        <v>7686.1171300393689</v>
      </c>
      <c r="H721" s="20">
        <f t="shared" si="42"/>
        <v>300000</v>
      </c>
      <c r="I721" s="17">
        <f t="shared" si="43"/>
        <v>38028.199102755869</v>
      </c>
    </row>
    <row r="722" spans="1:9" x14ac:dyDescent="0.35">
      <c r="A722" s="11">
        <v>14331.308938871425</v>
      </c>
      <c r="B722" s="20">
        <f t="shared" si="40"/>
        <v>300000</v>
      </c>
      <c r="C722" s="17">
        <f t="shared" si="41"/>
        <v>503191.62572099979</v>
      </c>
      <c r="G722" s="11">
        <v>5717.6732688375505</v>
      </c>
      <c r="H722" s="20">
        <f t="shared" si="42"/>
        <v>285883.66344187752</v>
      </c>
      <c r="I722" s="17">
        <f t="shared" si="43"/>
        <v>-99762.871181371447</v>
      </c>
    </row>
    <row r="723" spans="1:9" x14ac:dyDescent="0.35">
      <c r="A723" s="11">
        <v>13406.44550920133</v>
      </c>
      <c r="B723" s="20">
        <f t="shared" si="40"/>
        <v>300000</v>
      </c>
      <c r="C723" s="17">
        <f t="shared" si="41"/>
        <v>438451.18564409309</v>
      </c>
      <c r="G723" s="11">
        <v>7617.7556688131353</v>
      </c>
      <c r="H723" s="20">
        <f t="shared" si="42"/>
        <v>300000</v>
      </c>
      <c r="I723" s="17">
        <f t="shared" si="43"/>
        <v>33242.896816919441</v>
      </c>
    </row>
    <row r="724" spans="1:9" x14ac:dyDescent="0.35">
      <c r="A724" s="11">
        <v>13299.630726035341</v>
      </c>
      <c r="B724" s="20">
        <f t="shared" si="40"/>
        <v>300000</v>
      </c>
      <c r="C724" s="17">
        <f t="shared" si="41"/>
        <v>430974.15082247381</v>
      </c>
      <c r="G724" s="11">
        <v>5541.5814691610467</v>
      </c>
      <c r="H724" s="20">
        <f t="shared" si="42"/>
        <v>277079.07345805236</v>
      </c>
      <c r="I724" s="17">
        <f t="shared" si="43"/>
        <v>-112089.29715872672</v>
      </c>
    </row>
    <row r="725" spans="1:9" x14ac:dyDescent="0.35">
      <c r="A725" s="11">
        <v>13383.556627094333</v>
      </c>
      <c r="B725" s="20">
        <f t="shared" si="40"/>
        <v>300000</v>
      </c>
      <c r="C725" s="17">
        <f t="shared" si="41"/>
        <v>436848.96389660332</v>
      </c>
      <c r="G725" s="11">
        <v>3571.4590899380473</v>
      </c>
      <c r="H725" s="20">
        <f t="shared" si="42"/>
        <v>178572.95449690236</v>
      </c>
      <c r="I725" s="17">
        <f t="shared" si="43"/>
        <v>-249997.86370433669</v>
      </c>
    </row>
    <row r="726" spans="1:9" x14ac:dyDescent="0.35">
      <c r="A726" s="11">
        <v>12979.64415417951</v>
      </c>
      <c r="B726" s="20">
        <f t="shared" si="40"/>
        <v>300000</v>
      </c>
      <c r="C726" s="17">
        <f t="shared" si="41"/>
        <v>408575.09079256572</v>
      </c>
      <c r="G726" s="11">
        <v>3557.5731681264688</v>
      </c>
      <c r="H726" s="20">
        <f t="shared" si="42"/>
        <v>177878.65840632343</v>
      </c>
      <c r="I726" s="17">
        <f t="shared" si="43"/>
        <v>-250969.87823114719</v>
      </c>
    </row>
    <row r="727" spans="1:9" x14ac:dyDescent="0.35">
      <c r="A727" s="11">
        <v>14733.237708670309</v>
      </c>
      <c r="B727" s="20">
        <f t="shared" si="40"/>
        <v>300000</v>
      </c>
      <c r="C727" s="17">
        <f t="shared" si="41"/>
        <v>531326.63960692158</v>
      </c>
      <c r="G727" s="11">
        <v>5430.9518723105557</v>
      </c>
      <c r="H727" s="20">
        <f t="shared" si="42"/>
        <v>271547.59361552779</v>
      </c>
      <c r="I727" s="17">
        <f t="shared" si="43"/>
        <v>-119833.36893826112</v>
      </c>
    </row>
    <row r="728" spans="1:9" x14ac:dyDescent="0.35">
      <c r="A728" s="11">
        <v>15090.762047181615</v>
      </c>
      <c r="B728" s="20">
        <f t="shared" si="40"/>
        <v>300000</v>
      </c>
      <c r="C728" s="17">
        <f t="shared" si="41"/>
        <v>550000</v>
      </c>
      <c r="G728" s="11">
        <v>4635.486922818689</v>
      </c>
      <c r="H728" s="20">
        <f t="shared" si="42"/>
        <v>231774.34614093445</v>
      </c>
      <c r="I728" s="17">
        <f t="shared" si="43"/>
        <v>-175515.91540269175</v>
      </c>
    </row>
    <row r="729" spans="1:9" x14ac:dyDescent="0.35">
      <c r="A729" s="11">
        <v>12933.713797418133</v>
      </c>
      <c r="B729" s="20">
        <f t="shared" si="40"/>
        <v>300000</v>
      </c>
      <c r="C729" s="17">
        <f t="shared" si="41"/>
        <v>405359.9658192693</v>
      </c>
      <c r="G729" s="11">
        <v>4088.2900479140599</v>
      </c>
      <c r="H729" s="20">
        <f t="shared" si="42"/>
        <v>204414.50239570299</v>
      </c>
      <c r="I729" s="17">
        <f t="shared" si="43"/>
        <v>-213819.6966460158</v>
      </c>
    </row>
    <row r="730" spans="1:9" x14ac:dyDescent="0.35">
      <c r="A730" s="11">
        <v>12850.703451643421</v>
      </c>
      <c r="B730" s="20">
        <f t="shared" si="40"/>
        <v>300000</v>
      </c>
      <c r="C730" s="17">
        <f t="shared" si="41"/>
        <v>399549.24161503953</v>
      </c>
      <c r="G730" s="11">
        <v>7409.0090639973141</v>
      </c>
      <c r="H730" s="20">
        <f t="shared" si="42"/>
        <v>300000</v>
      </c>
      <c r="I730" s="17">
        <f t="shared" si="43"/>
        <v>18630.634479811997</v>
      </c>
    </row>
    <row r="731" spans="1:9" x14ac:dyDescent="0.35">
      <c r="A731" s="11">
        <v>14681.966612750633</v>
      </c>
      <c r="B731" s="20">
        <f t="shared" si="40"/>
        <v>300000</v>
      </c>
      <c r="C731" s="17">
        <f t="shared" si="41"/>
        <v>527737.66289254429</v>
      </c>
      <c r="G731" s="11">
        <v>6274.9412518692588</v>
      </c>
      <c r="H731" s="20">
        <f t="shared" si="42"/>
        <v>300000</v>
      </c>
      <c r="I731" s="17">
        <f t="shared" si="43"/>
        <v>-60754.112369151902</v>
      </c>
    </row>
    <row r="732" spans="1:9" x14ac:dyDescent="0.35">
      <c r="A732" s="11">
        <v>16178.289132358776</v>
      </c>
      <c r="B732" s="20">
        <f t="shared" si="40"/>
        <v>300000</v>
      </c>
      <c r="C732" s="17">
        <f t="shared" si="41"/>
        <v>550000</v>
      </c>
      <c r="G732" s="11">
        <v>4100.1922666096989</v>
      </c>
      <c r="H732" s="20">
        <f t="shared" si="42"/>
        <v>205009.61333048495</v>
      </c>
      <c r="I732" s="17">
        <f t="shared" si="43"/>
        <v>-212986.5413373211</v>
      </c>
    </row>
    <row r="733" spans="1:9" x14ac:dyDescent="0.35">
      <c r="A733" s="11">
        <v>13012.909329508348</v>
      </c>
      <c r="B733" s="20">
        <f t="shared" si="40"/>
        <v>300000</v>
      </c>
      <c r="C733" s="17">
        <f t="shared" si="41"/>
        <v>410903.65306558437</v>
      </c>
      <c r="G733" s="11">
        <v>7137.5469222083193</v>
      </c>
      <c r="H733" s="20">
        <f t="shared" si="42"/>
        <v>300000</v>
      </c>
      <c r="I733" s="17">
        <f t="shared" si="43"/>
        <v>-371.71544541767798</v>
      </c>
    </row>
    <row r="734" spans="1:9" x14ac:dyDescent="0.35">
      <c r="A734" s="11">
        <v>14159.947508163701</v>
      </c>
      <c r="B734" s="20">
        <f t="shared" si="40"/>
        <v>300000</v>
      </c>
      <c r="C734" s="17">
        <f t="shared" si="41"/>
        <v>491196.32557145902</v>
      </c>
      <c r="G734" s="11">
        <v>6638.1115146336251</v>
      </c>
      <c r="H734" s="20">
        <f t="shared" si="42"/>
        <v>300000</v>
      </c>
      <c r="I734" s="17">
        <f t="shared" si="43"/>
        <v>-35332.193975646223</v>
      </c>
    </row>
    <row r="735" spans="1:9" x14ac:dyDescent="0.35">
      <c r="A735" s="11">
        <v>16397.259437849054</v>
      </c>
      <c r="B735" s="20">
        <f t="shared" si="40"/>
        <v>300000</v>
      </c>
      <c r="C735" s="17">
        <f t="shared" si="41"/>
        <v>550000</v>
      </c>
      <c r="G735" s="11">
        <v>5343.0585650196845</v>
      </c>
      <c r="H735" s="20">
        <f t="shared" si="42"/>
        <v>267152.92825098423</v>
      </c>
      <c r="I735" s="17">
        <f t="shared" si="43"/>
        <v>-125985.90044862207</v>
      </c>
    </row>
    <row r="736" spans="1:9" x14ac:dyDescent="0.35">
      <c r="A736" s="11">
        <v>13253.852961821345</v>
      </c>
      <c r="B736" s="20">
        <f t="shared" si="40"/>
        <v>300000</v>
      </c>
      <c r="C736" s="17">
        <f t="shared" si="41"/>
        <v>427769.70732749416</v>
      </c>
      <c r="G736" s="11">
        <v>5973.8761558885462</v>
      </c>
      <c r="H736" s="20">
        <f t="shared" si="42"/>
        <v>298693.80779442732</v>
      </c>
      <c r="I736" s="17">
        <f t="shared" si="43"/>
        <v>-81828.669087801769</v>
      </c>
    </row>
    <row r="737" spans="1:9" x14ac:dyDescent="0.35">
      <c r="A737" s="11">
        <v>12670.339060640279</v>
      </c>
      <c r="B737" s="20">
        <f t="shared" si="40"/>
        <v>300000</v>
      </c>
      <c r="C737" s="17">
        <f t="shared" si="41"/>
        <v>386923.7342448195</v>
      </c>
      <c r="G737" s="11">
        <v>6244.270149845881</v>
      </c>
      <c r="H737" s="20">
        <f t="shared" si="42"/>
        <v>300000</v>
      </c>
      <c r="I737" s="17">
        <f t="shared" si="43"/>
        <v>-62901.089510788326</v>
      </c>
    </row>
    <row r="738" spans="1:9" x14ac:dyDescent="0.35">
      <c r="A738" s="11">
        <v>14889.339884640034</v>
      </c>
      <c r="B738" s="20">
        <f t="shared" ref="B738:B801" si="44">50*MIN(6000,A738)</f>
        <v>300000</v>
      </c>
      <c r="C738" s="17">
        <f t="shared" ref="C738:C801" si="45">70*MIN(15000,A738)-500000</f>
        <v>542253.79192480235</v>
      </c>
      <c r="G738" s="11">
        <v>4244.8500015259251</v>
      </c>
      <c r="H738" s="20">
        <f t="shared" ref="H738:H801" si="46">50*MIN(6000,G738)</f>
        <v>212242.50007629624</v>
      </c>
      <c r="I738" s="17">
        <f t="shared" ref="I738:I801" si="47">70*MIN(15000,G738)-500000</f>
        <v>-202860.49989318522</v>
      </c>
    </row>
    <row r="739" spans="1:9" x14ac:dyDescent="0.35">
      <c r="A739" s="11">
        <v>13045.258949552905</v>
      </c>
      <c r="B739" s="20">
        <f t="shared" si="44"/>
        <v>300000</v>
      </c>
      <c r="C739" s="17">
        <f t="shared" si="45"/>
        <v>413168.12646870327</v>
      </c>
      <c r="G739" s="11">
        <v>5406.3844721823789</v>
      </c>
      <c r="H739" s="20">
        <f t="shared" si="46"/>
        <v>270319.22360911896</v>
      </c>
      <c r="I739" s="17">
        <f t="shared" si="47"/>
        <v>-121553.08694723347</v>
      </c>
    </row>
    <row r="740" spans="1:9" x14ac:dyDescent="0.35">
      <c r="A740" s="11">
        <v>12983.764152958769</v>
      </c>
      <c r="B740" s="20">
        <f t="shared" si="44"/>
        <v>300000</v>
      </c>
      <c r="C740" s="17">
        <f t="shared" si="45"/>
        <v>408863.49070711387</v>
      </c>
      <c r="G740" s="11">
        <v>4134.2204046754359</v>
      </c>
      <c r="H740" s="20">
        <f t="shared" si="46"/>
        <v>206711.02023377179</v>
      </c>
      <c r="I740" s="17">
        <f t="shared" si="47"/>
        <v>-210604.5716727195</v>
      </c>
    </row>
    <row r="741" spans="1:9" x14ac:dyDescent="0.35">
      <c r="A741" s="11">
        <v>15913.23587755974</v>
      </c>
      <c r="B741" s="20">
        <f t="shared" si="44"/>
        <v>300000</v>
      </c>
      <c r="C741" s="17">
        <f t="shared" si="45"/>
        <v>550000</v>
      </c>
      <c r="G741" s="11">
        <v>5706.5340128788112</v>
      </c>
      <c r="H741" s="20">
        <f t="shared" si="46"/>
        <v>285326.70064394054</v>
      </c>
      <c r="I741" s="17">
        <f t="shared" si="47"/>
        <v>-100542.61909848324</v>
      </c>
    </row>
    <row r="742" spans="1:9" x14ac:dyDescent="0.35">
      <c r="A742" s="11">
        <v>13497.390667439802</v>
      </c>
      <c r="B742" s="20">
        <f t="shared" si="44"/>
        <v>300000</v>
      </c>
      <c r="C742" s="17">
        <f t="shared" si="45"/>
        <v>444817.34672078618</v>
      </c>
      <c r="G742" s="11">
        <v>7046.1439863277083</v>
      </c>
      <c r="H742" s="20">
        <f t="shared" si="46"/>
        <v>300000</v>
      </c>
      <c r="I742" s="17">
        <f t="shared" si="47"/>
        <v>-6769.9209570604144</v>
      </c>
    </row>
    <row r="743" spans="1:9" x14ac:dyDescent="0.35">
      <c r="A743" s="11">
        <v>15306.833094271675</v>
      </c>
      <c r="B743" s="20">
        <f t="shared" si="44"/>
        <v>300000</v>
      </c>
      <c r="C743" s="17">
        <f t="shared" si="45"/>
        <v>550000</v>
      </c>
      <c r="G743" s="11">
        <v>4386.6084780419324</v>
      </c>
      <c r="H743" s="20">
        <f t="shared" si="46"/>
        <v>219330.42390209661</v>
      </c>
      <c r="I743" s="17">
        <f t="shared" si="47"/>
        <v>-192937.40653706476</v>
      </c>
    </row>
    <row r="744" spans="1:9" x14ac:dyDescent="0.35">
      <c r="A744" s="11">
        <v>12654.316843165379</v>
      </c>
      <c r="B744" s="20">
        <f t="shared" si="44"/>
        <v>300000</v>
      </c>
      <c r="C744" s="17">
        <f t="shared" si="45"/>
        <v>385802.17902157654</v>
      </c>
      <c r="G744" s="11">
        <v>7201.1780144657732</v>
      </c>
      <c r="H744" s="20">
        <f t="shared" si="46"/>
        <v>300000</v>
      </c>
      <c r="I744" s="17">
        <f t="shared" si="47"/>
        <v>4082.4610126041225</v>
      </c>
    </row>
    <row r="745" spans="1:9" x14ac:dyDescent="0.35">
      <c r="A745" s="11">
        <v>15396.710104678488</v>
      </c>
      <c r="B745" s="20">
        <f t="shared" si="44"/>
        <v>300000</v>
      </c>
      <c r="C745" s="17">
        <f t="shared" si="45"/>
        <v>550000</v>
      </c>
      <c r="G745" s="11">
        <v>5008.423108615375</v>
      </c>
      <c r="H745" s="20">
        <f t="shared" si="46"/>
        <v>250421.15543076876</v>
      </c>
      <c r="I745" s="17">
        <f t="shared" si="47"/>
        <v>-149410.38239692373</v>
      </c>
    </row>
    <row r="746" spans="1:9" x14ac:dyDescent="0.35">
      <c r="A746" s="11">
        <v>15976.409192175055</v>
      </c>
      <c r="B746" s="20">
        <f t="shared" si="44"/>
        <v>300000</v>
      </c>
      <c r="C746" s="17">
        <f t="shared" si="45"/>
        <v>550000</v>
      </c>
      <c r="G746" s="11">
        <v>3055.8488723410746</v>
      </c>
      <c r="H746" s="20">
        <f t="shared" si="46"/>
        <v>152792.44361705374</v>
      </c>
      <c r="I746" s="17">
        <f t="shared" si="47"/>
        <v>-286090.5789361248</v>
      </c>
    </row>
    <row r="747" spans="1:9" x14ac:dyDescent="0.35">
      <c r="A747" s="11">
        <v>15833.582567827387</v>
      </c>
      <c r="B747" s="20">
        <f t="shared" si="44"/>
        <v>300000</v>
      </c>
      <c r="C747" s="17">
        <f t="shared" si="45"/>
        <v>550000</v>
      </c>
      <c r="G747" s="11">
        <v>6338.5723441267128</v>
      </c>
      <c r="H747" s="20">
        <f t="shared" si="46"/>
        <v>300000</v>
      </c>
      <c r="I747" s="17">
        <f t="shared" si="47"/>
        <v>-56299.935911130102</v>
      </c>
    </row>
    <row r="748" spans="1:9" x14ac:dyDescent="0.35">
      <c r="A748" s="11">
        <v>14928.556169316691</v>
      </c>
      <c r="B748" s="20">
        <f t="shared" si="44"/>
        <v>300000</v>
      </c>
      <c r="C748" s="17">
        <f t="shared" si="45"/>
        <v>544998.9318521684</v>
      </c>
      <c r="G748" s="11">
        <v>6215.8879360332048</v>
      </c>
      <c r="H748" s="20">
        <f t="shared" si="46"/>
        <v>300000</v>
      </c>
      <c r="I748" s="17">
        <f t="shared" si="47"/>
        <v>-64887.844477675681</v>
      </c>
    </row>
    <row r="749" spans="1:9" x14ac:dyDescent="0.35">
      <c r="A749" s="11">
        <v>13779.534287545397</v>
      </c>
      <c r="B749" s="20">
        <f t="shared" si="44"/>
        <v>300000</v>
      </c>
      <c r="C749" s="17">
        <f t="shared" si="45"/>
        <v>464567.40012817783</v>
      </c>
      <c r="G749" s="11">
        <v>3909.6041749320962</v>
      </c>
      <c r="H749" s="20">
        <f t="shared" si="46"/>
        <v>195480.2087466048</v>
      </c>
      <c r="I749" s="17">
        <f t="shared" si="47"/>
        <v>-226327.7077547533</v>
      </c>
    </row>
    <row r="750" spans="1:9" x14ac:dyDescent="0.35">
      <c r="A750" s="11">
        <v>14909.329508346813</v>
      </c>
      <c r="B750" s="20">
        <f t="shared" si="44"/>
        <v>300000</v>
      </c>
      <c r="C750" s="17">
        <f t="shared" si="45"/>
        <v>543653.06558427692</v>
      </c>
      <c r="G750" s="11">
        <v>6846.2477492599264</v>
      </c>
      <c r="H750" s="20">
        <f t="shared" si="46"/>
        <v>300000</v>
      </c>
      <c r="I750" s="17">
        <f t="shared" si="47"/>
        <v>-20762.65755180514</v>
      </c>
    </row>
    <row r="751" spans="1:9" x14ac:dyDescent="0.35">
      <c r="A751" s="11">
        <v>12697.958311716056</v>
      </c>
      <c r="B751" s="20">
        <f t="shared" si="44"/>
        <v>300000</v>
      </c>
      <c r="C751" s="17">
        <f t="shared" si="45"/>
        <v>388857.08182012395</v>
      </c>
      <c r="G751" s="11">
        <v>3496.2309640797143</v>
      </c>
      <c r="H751" s="20">
        <f t="shared" si="46"/>
        <v>174811.54820398573</v>
      </c>
      <c r="I751" s="17">
        <f t="shared" si="47"/>
        <v>-255263.83251442001</v>
      </c>
    </row>
    <row r="752" spans="1:9" x14ac:dyDescent="0.35">
      <c r="A752" s="11">
        <v>15619.495223853268</v>
      </c>
      <c r="B752" s="20">
        <f t="shared" si="44"/>
        <v>300000</v>
      </c>
      <c r="C752" s="17">
        <f t="shared" si="45"/>
        <v>550000</v>
      </c>
      <c r="G752" s="11">
        <v>4126.5907773064364</v>
      </c>
      <c r="H752" s="20">
        <f t="shared" si="46"/>
        <v>206329.53886532181</v>
      </c>
      <c r="I752" s="17">
        <f t="shared" si="47"/>
        <v>-211138.64558854944</v>
      </c>
    </row>
    <row r="753" spans="1:9" x14ac:dyDescent="0.35">
      <c r="A753" s="11">
        <v>16026.612140263069</v>
      </c>
      <c r="B753" s="20">
        <f t="shared" si="44"/>
        <v>300000</v>
      </c>
      <c r="C753" s="17">
        <f t="shared" si="45"/>
        <v>550000</v>
      </c>
      <c r="G753" s="11">
        <v>7112.9795220801416</v>
      </c>
      <c r="H753" s="20">
        <f t="shared" si="46"/>
        <v>300000</v>
      </c>
      <c r="I753" s="17">
        <f t="shared" si="47"/>
        <v>-2091.4334543900914</v>
      </c>
    </row>
    <row r="754" spans="1:9" x14ac:dyDescent="0.35">
      <c r="A754" s="11">
        <v>15687.55149998474</v>
      </c>
      <c r="B754" s="20">
        <f t="shared" si="44"/>
        <v>300000</v>
      </c>
      <c r="C754" s="17">
        <f t="shared" si="45"/>
        <v>550000</v>
      </c>
      <c r="G754" s="11">
        <v>6165.5323953978086</v>
      </c>
      <c r="H754" s="20">
        <f t="shared" si="46"/>
        <v>300000</v>
      </c>
      <c r="I754" s="17">
        <f t="shared" si="47"/>
        <v>-68412.732322153402</v>
      </c>
    </row>
    <row r="755" spans="1:9" x14ac:dyDescent="0.35">
      <c r="A755" s="11">
        <v>16370.403149510177</v>
      </c>
      <c r="B755" s="20">
        <f t="shared" si="44"/>
        <v>300000</v>
      </c>
      <c r="C755" s="17">
        <f t="shared" si="45"/>
        <v>550000</v>
      </c>
      <c r="G755" s="11">
        <v>4540.8795434430986</v>
      </c>
      <c r="H755" s="20">
        <f t="shared" si="46"/>
        <v>227043.97717215493</v>
      </c>
      <c r="I755" s="17">
        <f t="shared" si="47"/>
        <v>-182138.43195898313</v>
      </c>
    </row>
    <row r="756" spans="1:9" x14ac:dyDescent="0.35">
      <c r="A756" s="11">
        <v>15888.973662526321</v>
      </c>
      <c r="B756" s="20">
        <f t="shared" si="44"/>
        <v>300000</v>
      </c>
      <c r="C756" s="17">
        <f t="shared" si="45"/>
        <v>550000</v>
      </c>
      <c r="G756" s="11">
        <v>6611.5604113895079</v>
      </c>
      <c r="H756" s="20">
        <f t="shared" si="46"/>
        <v>300000</v>
      </c>
      <c r="I756" s="17">
        <f t="shared" si="47"/>
        <v>-37190.771202734439</v>
      </c>
    </row>
    <row r="757" spans="1:9" x14ac:dyDescent="0.35">
      <c r="A757" s="11">
        <v>13440.168462172307</v>
      </c>
      <c r="B757" s="20">
        <f t="shared" si="44"/>
        <v>300000</v>
      </c>
      <c r="C757" s="17">
        <f t="shared" si="45"/>
        <v>440811.79235206149</v>
      </c>
      <c r="G757" s="11">
        <v>4920.3772087771231</v>
      </c>
      <c r="H757" s="20">
        <f t="shared" si="46"/>
        <v>246018.86043885615</v>
      </c>
      <c r="I757" s="17">
        <f t="shared" si="47"/>
        <v>-155573.59538560139</v>
      </c>
    </row>
    <row r="758" spans="1:9" x14ac:dyDescent="0.35">
      <c r="A758" s="11">
        <v>12540.63539536729</v>
      </c>
      <c r="B758" s="20">
        <f t="shared" si="44"/>
        <v>300000</v>
      </c>
      <c r="C758" s="17">
        <f t="shared" si="45"/>
        <v>377844.47767571022</v>
      </c>
      <c r="G758" s="11">
        <v>5599.1088595233014</v>
      </c>
      <c r="H758" s="20">
        <f t="shared" si="46"/>
        <v>279955.4429761651</v>
      </c>
      <c r="I758" s="17">
        <f t="shared" si="47"/>
        <v>-108062.37983336893</v>
      </c>
    </row>
    <row r="759" spans="1:9" x14ac:dyDescent="0.35">
      <c r="A759" s="11">
        <v>12249.031037324137</v>
      </c>
      <c r="B759" s="20">
        <f t="shared" si="44"/>
        <v>300000</v>
      </c>
      <c r="C759" s="17">
        <f t="shared" si="45"/>
        <v>357432.17261268967</v>
      </c>
      <c r="G759" s="11">
        <v>6744.4685201574757</v>
      </c>
      <c r="H759" s="20">
        <f t="shared" si="46"/>
        <v>300000</v>
      </c>
      <c r="I759" s="17">
        <f t="shared" si="47"/>
        <v>-27887.203588976699</v>
      </c>
    </row>
    <row r="760" spans="1:9" x14ac:dyDescent="0.35">
      <c r="A760" s="11">
        <v>12774.864955595569</v>
      </c>
      <c r="B760" s="20">
        <f t="shared" si="44"/>
        <v>300000</v>
      </c>
      <c r="C760" s="17">
        <f t="shared" si="45"/>
        <v>394240.54689168988</v>
      </c>
      <c r="G760" s="11">
        <v>6271.5842158268988</v>
      </c>
      <c r="H760" s="20">
        <f t="shared" si="46"/>
        <v>300000</v>
      </c>
      <c r="I760" s="17">
        <f t="shared" si="47"/>
        <v>-60989.104892117088</v>
      </c>
    </row>
    <row r="761" spans="1:9" x14ac:dyDescent="0.35">
      <c r="A761" s="11">
        <v>12701.467940305796</v>
      </c>
      <c r="B761" s="20">
        <f t="shared" si="44"/>
        <v>300000</v>
      </c>
      <c r="C761" s="17">
        <f t="shared" si="45"/>
        <v>389102.75582140568</v>
      </c>
      <c r="G761" s="11">
        <v>3779.9005096591081</v>
      </c>
      <c r="H761" s="20">
        <f t="shared" si="46"/>
        <v>188995.02548295542</v>
      </c>
      <c r="I761" s="17">
        <f t="shared" si="47"/>
        <v>-235406.96432386246</v>
      </c>
    </row>
    <row r="762" spans="1:9" x14ac:dyDescent="0.35">
      <c r="A762" s="11">
        <v>14539.139988402967</v>
      </c>
      <c r="B762" s="20">
        <f t="shared" si="44"/>
        <v>300000</v>
      </c>
      <c r="C762" s="17">
        <f t="shared" si="45"/>
        <v>517739.79918820772</v>
      </c>
      <c r="G762" s="11">
        <v>5551.8051698355048</v>
      </c>
      <c r="H762" s="20">
        <f t="shared" si="46"/>
        <v>277590.25849177525</v>
      </c>
      <c r="I762" s="17">
        <f t="shared" si="47"/>
        <v>-111373.63811151468</v>
      </c>
    </row>
    <row r="763" spans="1:9" x14ac:dyDescent="0.35">
      <c r="A763" s="11">
        <v>13282.692953276162</v>
      </c>
      <c r="B763" s="20">
        <f t="shared" si="44"/>
        <v>300000</v>
      </c>
      <c r="C763" s="17">
        <f t="shared" si="45"/>
        <v>429788.50672933133</v>
      </c>
      <c r="G763" s="11">
        <v>7146.855067598498</v>
      </c>
      <c r="H763" s="20">
        <f t="shared" si="46"/>
        <v>300000</v>
      </c>
      <c r="I763" s="17">
        <f t="shared" si="47"/>
        <v>279.85473189485492</v>
      </c>
    </row>
    <row r="764" spans="1:9" x14ac:dyDescent="0.35">
      <c r="A764" s="11">
        <v>14456.129642628253</v>
      </c>
      <c r="B764" s="20">
        <f t="shared" si="44"/>
        <v>300000</v>
      </c>
      <c r="C764" s="17">
        <f t="shared" si="45"/>
        <v>511929.07498397771</v>
      </c>
      <c r="G764" s="11">
        <v>4722.7698599200412</v>
      </c>
      <c r="H764" s="20">
        <f t="shared" si="46"/>
        <v>236138.49299600205</v>
      </c>
      <c r="I764" s="17">
        <f t="shared" si="47"/>
        <v>-169406.10980559711</v>
      </c>
    </row>
    <row r="765" spans="1:9" x14ac:dyDescent="0.35">
      <c r="A765" s="11">
        <v>15702.963347270119</v>
      </c>
      <c r="B765" s="20">
        <f t="shared" si="44"/>
        <v>300000</v>
      </c>
      <c r="C765" s="17">
        <f t="shared" si="45"/>
        <v>550000</v>
      </c>
      <c r="G765" s="11">
        <v>3131.687368388928</v>
      </c>
      <c r="H765" s="20">
        <f t="shared" si="46"/>
        <v>156584.3684194464</v>
      </c>
      <c r="I765" s="17">
        <f t="shared" si="47"/>
        <v>-280781.88421277504</v>
      </c>
    </row>
    <row r="766" spans="1:9" x14ac:dyDescent="0.35">
      <c r="A766" s="11">
        <v>14221.594897305215</v>
      </c>
      <c r="B766" s="20">
        <f t="shared" si="44"/>
        <v>300000</v>
      </c>
      <c r="C766" s="17">
        <f t="shared" si="45"/>
        <v>495511.64281136496</v>
      </c>
      <c r="G766" s="11">
        <v>7333.7809381389816</v>
      </c>
      <c r="H766" s="20">
        <f t="shared" si="46"/>
        <v>300000</v>
      </c>
      <c r="I766" s="17">
        <f t="shared" si="47"/>
        <v>13364.665669728711</v>
      </c>
    </row>
    <row r="767" spans="1:9" x14ac:dyDescent="0.35">
      <c r="A767" s="11">
        <v>14708.822901089512</v>
      </c>
      <c r="B767" s="20">
        <f t="shared" si="44"/>
        <v>300000</v>
      </c>
      <c r="C767" s="17">
        <f t="shared" si="45"/>
        <v>529617.60307626589</v>
      </c>
      <c r="G767" s="11">
        <v>5423.4748374889368</v>
      </c>
      <c r="H767" s="20">
        <f t="shared" si="46"/>
        <v>271173.74187444686</v>
      </c>
      <c r="I767" s="17">
        <f t="shared" si="47"/>
        <v>-120356.7613757744</v>
      </c>
    </row>
    <row r="768" spans="1:9" x14ac:dyDescent="0.35">
      <c r="A768" s="11">
        <v>14158.879360332041</v>
      </c>
      <c r="B768" s="20">
        <f t="shared" si="44"/>
        <v>300000</v>
      </c>
      <c r="C768" s="17">
        <f t="shared" si="45"/>
        <v>491121.55522324285</v>
      </c>
      <c r="G768" s="11">
        <v>4622.0587786492506</v>
      </c>
      <c r="H768" s="20">
        <f t="shared" si="46"/>
        <v>231102.93893246254</v>
      </c>
      <c r="I768" s="17">
        <f t="shared" si="47"/>
        <v>-176455.88549455244</v>
      </c>
    </row>
    <row r="769" spans="1:9" x14ac:dyDescent="0.35">
      <c r="A769" s="11">
        <v>13451.765495773187</v>
      </c>
      <c r="B769" s="20">
        <f t="shared" si="44"/>
        <v>300000</v>
      </c>
      <c r="C769" s="17">
        <f t="shared" si="45"/>
        <v>441623.58470412309</v>
      </c>
      <c r="G769" s="11">
        <v>7460.2801599169898</v>
      </c>
      <c r="H769" s="20">
        <f t="shared" si="46"/>
        <v>300000</v>
      </c>
      <c r="I769" s="17">
        <f t="shared" si="47"/>
        <v>22219.611194189289</v>
      </c>
    </row>
    <row r="770" spans="1:9" x14ac:dyDescent="0.35">
      <c r="A770" s="11">
        <v>14007.507553331096</v>
      </c>
      <c r="B770" s="20">
        <f t="shared" si="44"/>
        <v>300000</v>
      </c>
      <c r="C770" s="17">
        <f t="shared" si="45"/>
        <v>480525.52873317664</v>
      </c>
      <c r="G770" s="11">
        <v>7631.4889980773341</v>
      </c>
      <c r="H770" s="20">
        <f t="shared" si="46"/>
        <v>300000</v>
      </c>
      <c r="I770" s="17">
        <f t="shared" si="47"/>
        <v>34204.229865413392</v>
      </c>
    </row>
    <row r="771" spans="1:9" x14ac:dyDescent="0.35">
      <c r="A771" s="11">
        <v>15442.793053987243</v>
      </c>
      <c r="B771" s="20">
        <f t="shared" si="44"/>
        <v>300000</v>
      </c>
      <c r="C771" s="17">
        <f t="shared" si="45"/>
        <v>550000</v>
      </c>
      <c r="G771" s="11">
        <v>3596.9420453505054</v>
      </c>
      <c r="H771" s="20">
        <f t="shared" si="46"/>
        <v>179847.10226752528</v>
      </c>
      <c r="I771" s="17">
        <f t="shared" si="47"/>
        <v>-248214.05682546462</v>
      </c>
    </row>
    <row r="772" spans="1:9" x14ac:dyDescent="0.35">
      <c r="A772" s="11">
        <v>14112.491225928527</v>
      </c>
      <c r="B772" s="20">
        <f t="shared" si="44"/>
        <v>300000</v>
      </c>
      <c r="C772" s="17">
        <f t="shared" si="45"/>
        <v>487874.3858149969</v>
      </c>
      <c r="G772" s="11">
        <v>6153.1723990600294</v>
      </c>
      <c r="H772" s="20">
        <f t="shared" si="46"/>
        <v>300000</v>
      </c>
      <c r="I772" s="17">
        <f t="shared" si="47"/>
        <v>-69277.93206579797</v>
      </c>
    </row>
    <row r="773" spans="1:9" x14ac:dyDescent="0.35">
      <c r="A773" s="11">
        <v>14828.913235877561</v>
      </c>
      <c r="B773" s="20">
        <f t="shared" si="44"/>
        <v>300000</v>
      </c>
      <c r="C773" s="17">
        <f t="shared" si="45"/>
        <v>538023.92651142925</v>
      </c>
      <c r="G773" s="11">
        <v>4956.0838648640402</v>
      </c>
      <c r="H773" s="20">
        <f t="shared" si="46"/>
        <v>247804.193243202</v>
      </c>
      <c r="I773" s="17">
        <f t="shared" si="47"/>
        <v>-153074.12945951719</v>
      </c>
    </row>
    <row r="774" spans="1:9" x14ac:dyDescent="0.35">
      <c r="A774" s="11">
        <v>13048.158207953124</v>
      </c>
      <c r="B774" s="20">
        <f t="shared" si="44"/>
        <v>300000</v>
      </c>
      <c r="C774" s="17">
        <f t="shared" si="45"/>
        <v>413371.0745567187</v>
      </c>
      <c r="G774" s="11">
        <v>3144.6577349162267</v>
      </c>
      <c r="H774" s="20">
        <f t="shared" si="46"/>
        <v>157232.88674581132</v>
      </c>
      <c r="I774" s="17">
        <f t="shared" si="47"/>
        <v>-279873.95855586417</v>
      </c>
    </row>
    <row r="775" spans="1:9" x14ac:dyDescent="0.35">
      <c r="A775" s="11">
        <v>13151.005584887234</v>
      </c>
      <c r="B775" s="20">
        <f t="shared" si="44"/>
        <v>300000</v>
      </c>
      <c r="C775" s="17">
        <f t="shared" si="45"/>
        <v>420570.39094210637</v>
      </c>
      <c r="G775" s="11">
        <v>5252.4185918759722</v>
      </c>
      <c r="H775" s="20">
        <f t="shared" si="46"/>
        <v>262620.92959379859</v>
      </c>
      <c r="I775" s="17">
        <f t="shared" si="47"/>
        <v>-132330.69856868195</v>
      </c>
    </row>
    <row r="776" spans="1:9" x14ac:dyDescent="0.35">
      <c r="A776" s="11">
        <v>13460.158085879086</v>
      </c>
      <c r="B776" s="20">
        <f t="shared" si="44"/>
        <v>300000</v>
      </c>
      <c r="C776" s="17">
        <f t="shared" si="45"/>
        <v>442211.06601153605</v>
      </c>
      <c r="G776" s="11">
        <v>5009.0334788048949</v>
      </c>
      <c r="H776" s="20">
        <f t="shared" si="46"/>
        <v>250451.67394024474</v>
      </c>
      <c r="I776" s="17">
        <f t="shared" si="47"/>
        <v>-149367.65648365737</v>
      </c>
    </row>
    <row r="777" spans="1:9" x14ac:dyDescent="0.35">
      <c r="A777" s="11">
        <v>13480.758079775384</v>
      </c>
      <c r="B777" s="20">
        <f t="shared" si="44"/>
        <v>300000</v>
      </c>
      <c r="C777" s="17">
        <f t="shared" si="45"/>
        <v>443653.0655842768</v>
      </c>
      <c r="G777" s="11">
        <v>6696.7070528275399</v>
      </c>
      <c r="H777" s="20">
        <f t="shared" si="46"/>
        <v>300000</v>
      </c>
      <c r="I777" s="17">
        <f t="shared" si="47"/>
        <v>-31230.506302072201</v>
      </c>
    </row>
    <row r="778" spans="1:9" x14ac:dyDescent="0.35">
      <c r="A778" s="11">
        <v>14673.574022644734</v>
      </c>
      <c r="B778" s="20">
        <f t="shared" si="44"/>
        <v>300000</v>
      </c>
      <c r="C778" s="17">
        <f t="shared" si="45"/>
        <v>527150.18158513145</v>
      </c>
      <c r="G778" s="11">
        <v>3670.4916531876584</v>
      </c>
      <c r="H778" s="20">
        <f t="shared" si="46"/>
        <v>183524.58265938293</v>
      </c>
      <c r="I778" s="17">
        <f t="shared" si="47"/>
        <v>-243065.58427686393</v>
      </c>
    </row>
    <row r="779" spans="1:9" x14ac:dyDescent="0.35">
      <c r="A779" s="11">
        <v>12533.46354564043</v>
      </c>
      <c r="B779" s="20">
        <f t="shared" si="44"/>
        <v>300000</v>
      </c>
      <c r="C779" s="17">
        <f t="shared" si="45"/>
        <v>377342.4481948301</v>
      </c>
      <c r="G779" s="11">
        <v>4409.3447676015503</v>
      </c>
      <c r="H779" s="20">
        <f t="shared" si="46"/>
        <v>220467.23838007753</v>
      </c>
      <c r="I779" s="17">
        <f t="shared" si="47"/>
        <v>-191345.86626789148</v>
      </c>
    </row>
    <row r="780" spans="1:9" x14ac:dyDescent="0.35">
      <c r="A780" s="11">
        <v>16531.388286996065</v>
      </c>
      <c r="B780" s="20">
        <f t="shared" si="44"/>
        <v>300000</v>
      </c>
      <c r="C780" s="17">
        <f t="shared" si="45"/>
        <v>550000</v>
      </c>
      <c r="G780" s="11">
        <v>6398.9989928891873</v>
      </c>
      <c r="H780" s="20">
        <f t="shared" si="46"/>
        <v>300000</v>
      </c>
      <c r="I780" s="17">
        <f t="shared" si="47"/>
        <v>-52070.070497756882</v>
      </c>
    </row>
    <row r="781" spans="1:9" x14ac:dyDescent="0.35">
      <c r="A781" s="11">
        <v>13629.07803582873</v>
      </c>
      <c r="B781" s="20">
        <f t="shared" si="44"/>
        <v>300000</v>
      </c>
      <c r="C781" s="17">
        <f t="shared" si="45"/>
        <v>454035.46250801114</v>
      </c>
      <c r="G781" s="11">
        <v>7750.9689626758627</v>
      </c>
      <c r="H781" s="20">
        <f t="shared" si="46"/>
        <v>300000</v>
      </c>
      <c r="I781" s="17">
        <f t="shared" si="47"/>
        <v>42567.827387310332</v>
      </c>
    </row>
    <row r="782" spans="1:9" x14ac:dyDescent="0.35">
      <c r="A782" s="11">
        <v>12090.945158238472</v>
      </c>
      <c r="B782" s="20">
        <f t="shared" si="44"/>
        <v>300000</v>
      </c>
      <c r="C782" s="17">
        <f t="shared" si="45"/>
        <v>346366.16107669298</v>
      </c>
      <c r="G782" s="11">
        <v>4415.9062471388897</v>
      </c>
      <c r="H782" s="20">
        <f t="shared" si="46"/>
        <v>220795.31235694449</v>
      </c>
      <c r="I782" s="17">
        <f t="shared" si="47"/>
        <v>-190886.56270027772</v>
      </c>
    </row>
    <row r="783" spans="1:9" x14ac:dyDescent="0.35">
      <c r="A783" s="11">
        <v>13853.389080477309</v>
      </c>
      <c r="B783" s="20">
        <f t="shared" si="44"/>
        <v>300000</v>
      </c>
      <c r="C783" s="17">
        <f t="shared" si="45"/>
        <v>469737.23563341168</v>
      </c>
      <c r="G783" s="11">
        <v>6709.5248268074592</v>
      </c>
      <c r="H783" s="20">
        <f t="shared" si="46"/>
        <v>300000</v>
      </c>
      <c r="I783" s="17">
        <f t="shared" si="47"/>
        <v>-30333.262123477878</v>
      </c>
    </row>
    <row r="784" spans="1:9" x14ac:dyDescent="0.35">
      <c r="A784" s="11">
        <v>15380.993072298348</v>
      </c>
      <c r="B784" s="20">
        <f t="shared" si="44"/>
        <v>300000</v>
      </c>
      <c r="C784" s="17">
        <f t="shared" si="45"/>
        <v>550000</v>
      </c>
      <c r="G784" s="11">
        <v>7111.606189153722</v>
      </c>
      <c r="H784" s="20">
        <f t="shared" si="46"/>
        <v>300000</v>
      </c>
      <c r="I784" s="17">
        <f t="shared" si="47"/>
        <v>-2187.5667592394748</v>
      </c>
    </row>
    <row r="785" spans="1:9" x14ac:dyDescent="0.35">
      <c r="A785" s="11">
        <v>13075.624866481521</v>
      </c>
      <c r="B785" s="20">
        <f t="shared" si="44"/>
        <v>300000</v>
      </c>
      <c r="C785" s="17">
        <f t="shared" si="45"/>
        <v>415293.74065370648</v>
      </c>
      <c r="G785" s="11">
        <v>4112.3996704000974</v>
      </c>
      <c r="H785" s="20">
        <f t="shared" si="46"/>
        <v>205619.98352000487</v>
      </c>
      <c r="I785" s="17">
        <f t="shared" si="47"/>
        <v>-212132.0230719932</v>
      </c>
    </row>
    <row r="786" spans="1:9" x14ac:dyDescent="0.35">
      <c r="A786" s="11">
        <v>12492.263557847835</v>
      </c>
      <c r="B786" s="20">
        <f t="shared" si="44"/>
        <v>300000</v>
      </c>
      <c r="C786" s="17">
        <f t="shared" si="45"/>
        <v>374458.44904934848</v>
      </c>
      <c r="G786" s="11">
        <v>5819.7576830347607</v>
      </c>
      <c r="H786" s="20">
        <f t="shared" si="46"/>
        <v>290987.88415173802</v>
      </c>
      <c r="I786" s="17">
        <f t="shared" si="47"/>
        <v>-92616.962187566736</v>
      </c>
    </row>
    <row r="787" spans="1:9" x14ac:dyDescent="0.35">
      <c r="A787" s="11">
        <v>16240.24170659505</v>
      </c>
      <c r="B787" s="20">
        <f t="shared" si="44"/>
        <v>300000</v>
      </c>
      <c r="C787" s="17">
        <f t="shared" si="45"/>
        <v>550000</v>
      </c>
      <c r="G787" s="11">
        <v>3073.8547929319134</v>
      </c>
      <c r="H787" s="20">
        <f t="shared" si="46"/>
        <v>153692.73964659567</v>
      </c>
      <c r="I787" s="17">
        <f t="shared" si="47"/>
        <v>-284830.16449476604</v>
      </c>
    </row>
    <row r="788" spans="1:9" x14ac:dyDescent="0.35">
      <c r="A788" s="11">
        <v>13003.601184118168</v>
      </c>
      <c r="B788" s="20">
        <f t="shared" si="44"/>
        <v>300000</v>
      </c>
      <c r="C788" s="17">
        <f t="shared" si="45"/>
        <v>410252.08288827178</v>
      </c>
      <c r="G788" s="11">
        <v>5166.8141727958009</v>
      </c>
      <c r="H788" s="20">
        <f t="shared" si="46"/>
        <v>258340.70863979004</v>
      </c>
      <c r="I788" s="17">
        <f t="shared" si="47"/>
        <v>-138323.00790429395</v>
      </c>
    </row>
    <row r="789" spans="1:9" x14ac:dyDescent="0.35">
      <c r="A789" s="11">
        <v>14187.719351786858</v>
      </c>
      <c r="B789" s="20">
        <f t="shared" si="44"/>
        <v>300000</v>
      </c>
      <c r="C789" s="17">
        <f t="shared" si="45"/>
        <v>493140.35462508001</v>
      </c>
      <c r="G789" s="11">
        <v>6870.6625568407235</v>
      </c>
      <c r="H789" s="20">
        <f t="shared" si="46"/>
        <v>300000</v>
      </c>
      <c r="I789" s="17">
        <f t="shared" si="47"/>
        <v>-19053.621021149331</v>
      </c>
    </row>
    <row r="790" spans="1:9" x14ac:dyDescent="0.35">
      <c r="A790" s="11">
        <v>12225.684377574999</v>
      </c>
      <c r="B790" s="20">
        <f t="shared" si="44"/>
        <v>300000</v>
      </c>
      <c r="C790" s="17">
        <f t="shared" si="45"/>
        <v>355797.90643024992</v>
      </c>
      <c r="G790" s="11">
        <v>6667.1040986358221</v>
      </c>
      <c r="H790" s="20">
        <f t="shared" si="46"/>
        <v>300000</v>
      </c>
      <c r="I790" s="17">
        <f t="shared" si="47"/>
        <v>-33302.713095492451</v>
      </c>
    </row>
    <row r="791" spans="1:9" x14ac:dyDescent="0.35">
      <c r="A791" s="11">
        <v>12800.958281197547</v>
      </c>
      <c r="B791" s="20">
        <f t="shared" si="44"/>
        <v>300000</v>
      </c>
      <c r="C791" s="17">
        <f t="shared" si="45"/>
        <v>396067.07968382828</v>
      </c>
      <c r="G791" s="11">
        <v>3488.6013367107153</v>
      </c>
      <c r="H791" s="20">
        <f t="shared" si="46"/>
        <v>174430.06683553575</v>
      </c>
      <c r="I791" s="17">
        <f t="shared" si="47"/>
        <v>-255797.90643024992</v>
      </c>
    </row>
    <row r="792" spans="1:9" x14ac:dyDescent="0.35">
      <c r="A792" s="11">
        <v>16126.255073702199</v>
      </c>
      <c r="B792" s="20">
        <f t="shared" si="44"/>
        <v>300000</v>
      </c>
      <c r="C792" s="17">
        <f t="shared" si="45"/>
        <v>550000</v>
      </c>
      <c r="G792" s="11">
        <v>4085.8485671559802</v>
      </c>
      <c r="H792" s="20">
        <f t="shared" si="46"/>
        <v>204292.42835779901</v>
      </c>
      <c r="I792" s="17">
        <f t="shared" si="47"/>
        <v>-213990.60029908142</v>
      </c>
    </row>
    <row r="793" spans="1:9" x14ac:dyDescent="0.35">
      <c r="A793" s="11">
        <v>16142.124698629719</v>
      </c>
      <c r="B793" s="20">
        <f t="shared" si="44"/>
        <v>300000</v>
      </c>
      <c r="C793" s="17">
        <f t="shared" si="45"/>
        <v>550000</v>
      </c>
      <c r="G793" s="11">
        <v>7523.7586596270639</v>
      </c>
      <c r="H793" s="20">
        <f t="shared" si="46"/>
        <v>300000</v>
      </c>
      <c r="I793" s="17">
        <f t="shared" si="47"/>
        <v>26663.106173894485</v>
      </c>
    </row>
    <row r="794" spans="1:9" x14ac:dyDescent="0.35">
      <c r="A794" s="11">
        <v>13187.62779625843</v>
      </c>
      <c r="B794" s="20">
        <f t="shared" si="44"/>
        <v>300000</v>
      </c>
      <c r="C794" s="17">
        <f t="shared" si="45"/>
        <v>423133.94573809009</v>
      </c>
      <c r="G794" s="11">
        <v>3773.9494003112886</v>
      </c>
      <c r="H794" s="20">
        <f t="shared" si="46"/>
        <v>188697.47001556444</v>
      </c>
      <c r="I794" s="17">
        <f t="shared" si="47"/>
        <v>-235823.5419782098</v>
      </c>
    </row>
    <row r="795" spans="1:9" x14ac:dyDescent="0.35">
      <c r="A795" s="11">
        <v>12067.751091036715</v>
      </c>
      <c r="B795" s="20">
        <f t="shared" si="44"/>
        <v>300000</v>
      </c>
      <c r="C795" s="17">
        <f t="shared" si="45"/>
        <v>344742.57637257001</v>
      </c>
      <c r="G795" s="11">
        <v>6071.8405713064967</v>
      </c>
      <c r="H795" s="20">
        <f t="shared" si="46"/>
        <v>300000</v>
      </c>
      <c r="I795" s="17">
        <f t="shared" si="47"/>
        <v>-74971.160008545208</v>
      </c>
    </row>
    <row r="796" spans="1:9" x14ac:dyDescent="0.35">
      <c r="A796" s="11">
        <v>13988.433484908597</v>
      </c>
      <c r="B796" s="20">
        <f t="shared" si="44"/>
        <v>300000</v>
      </c>
      <c r="C796" s="17">
        <f t="shared" si="45"/>
        <v>479190.34394360182</v>
      </c>
      <c r="G796" s="11">
        <v>6313.5471663563949</v>
      </c>
      <c r="H796" s="20">
        <f t="shared" si="46"/>
        <v>300000</v>
      </c>
      <c r="I796" s="17">
        <f t="shared" si="47"/>
        <v>-58051.698355052387</v>
      </c>
    </row>
    <row r="797" spans="1:9" x14ac:dyDescent="0.35">
      <c r="A797" s="11">
        <v>14209.997863704337</v>
      </c>
      <c r="B797" s="20">
        <f t="shared" si="44"/>
        <v>300000</v>
      </c>
      <c r="C797" s="17">
        <f t="shared" si="45"/>
        <v>494699.85045930359</v>
      </c>
      <c r="G797" s="11">
        <v>5840.9680471205784</v>
      </c>
      <c r="H797" s="20">
        <f t="shared" si="46"/>
        <v>292048.40235602891</v>
      </c>
      <c r="I797" s="17">
        <f t="shared" si="47"/>
        <v>-91132.236701559508</v>
      </c>
    </row>
    <row r="798" spans="1:9" x14ac:dyDescent="0.35">
      <c r="A798" s="11">
        <v>13091.494491409039</v>
      </c>
      <c r="B798" s="20">
        <f t="shared" si="44"/>
        <v>300000</v>
      </c>
      <c r="C798" s="17">
        <f t="shared" si="45"/>
        <v>416404.61439863278</v>
      </c>
      <c r="G798" s="11">
        <v>4027.2530289620654</v>
      </c>
      <c r="H798" s="20">
        <f t="shared" si="46"/>
        <v>201362.65144810328</v>
      </c>
      <c r="I798" s="17">
        <f t="shared" si="47"/>
        <v>-218092.28797265544</v>
      </c>
    </row>
    <row r="799" spans="1:9" x14ac:dyDescent="0.35">
      <c r="A799" s="11">
        <v>12815.607165746025</v>
      </c>
      <c r="B799" s="20">
        <f t="shared" si="44"/>
        <v>300000</v>
      </c>
      <c r="C799" s="17">
        <f t="shared" si="45"/>
        <v>397092.50160222175</v>
      </c>
      <c r="G799" s="11">
        <v>4081.7285683767204</v>
      </c>
      <c r="H799" s="20">
        <f t="shared" si="46"/>
        <v>204086.42841883603</v>
      </c>
      <c r="I799" s="17">
        <f t="shared" si="47"/>
        <v>-214279.00021362957</v>
      </c>
    </row>
    <row r="800" spans="1:9" x14ac:dyDescent="0.35">
      <c r="A800" s="11">
        <v>12015.411847285379</v>
      </c>
      <c r="B800" s="20">
        <f t="shared" si="44"/>
        <v>300000</v>
      </c>
      <c r="C800" s="17">
        <f t="shared" si="45"/>
        <v>341078.82930997654</v>
      </c>
      <c r="G800" s="11">
        <v>7819.483016449477</v>
      </c>
      <c r="H800" s="20">
        <f t="shared" si="46"/>
        <v>300000</v>
      </c>
      <c r="I800" s="17">
        <f t="shared" si="47"/>
        <v>47363.811151463422</v>
      </c>
    </row>
    <row r="801" spans="1:9" x14ac:dyDescent="0.35">
      <c r="A801" s="11">
        <v>14365.184484389782</v>
      </c>
      <c r="B801" s="20">
        <f t="shared" si="44"/>
        <v>300000</v>
      </c>
      <c r="C801" s="17">
        <f t="shared" si="45"/>
        <v>505562.91390728473</v>
      </c>
      <c r="G801" s="11">
        <v>4178.9300210577712</v>
      </c>
      <c r="H801" s="20">
        <f t="shared" si="46"/>
        <v>208946.50105288858</v>
      </c>
      <c r="I801" s="17">
        <f t="shared" si="47"/>
        <v>-207474.89852595603</v>
      </c>
    </row>
    <row r="802" spans="1:9" x14ac:dyDescent="0.35">
      <c r="A802" s="11">
        <v>14771.233252967926</v>
      </c>
      <c r="B802" s="20">
        <f t="shared" ref="B802:B865" si="48">50*MIN(6000,A802)</f>
        <v>300000</v>
      </c>
      <c r="C802" s="17">
        <f t="shared" ref="C802:C865" si="49">70*MIN(15000,A802)-500000</f>
        <v>533986.3277077548</v>
      </c>
      <c r="G802" s="11">
        <v>7058.3513901181068</v>
      </c>
      <c r="H802" s="20">
        <f t="shared" ref="H802:H865" si="50">50*MIN(6000,G802)</f>
        <v>300000</v>
      </c>
      <c r="I802" s="17">
        <f t="shared" ref="I802:I865" si="51">70*MIN(15000,G802)-500000</f>
        <v>-5915.40269173251</v>
      </c>
    </row>
    <row r="803" spans="1:9" x14ac:dyDescent="0.35">
      <c r="A803" s="11">
        <v>16781.029694509722</v>
      </c>
      <c r="B803" s="20">
        <f t="shared" si="48"/>
        <v>300000</v>
      </c>
      <c r="C803" s="17">
        <f t="shared" si="49"/>
        <v>550000</v>
      </c>
      <c r="G803" s="11">
        <v>6020.1116977446818</v>
      </c>
      <c r="H803" s="20">
        <f t="shared" si="50"/>
        <v>300000</v>
      </c>
      <c r="I803" s="17">
        <f t="shared" si="51"/>
        <v>-78592.181157872255</v>
      </c>
    </row>
    <row r="804" spans="1:9" x14ac:dyDescent="0.35">
      <c r="A804" s="11">
        <v>16788.8119144261</v>
      </c>
      <c r="B804" s="20">
        <f t="shared" si="48"/>
        <v>300000</v>
      </c>
      <c r="C804" s="17">
        <f t="shared" si="49"/>
        <v>550000</v>
      </c>
      <c r="G804" s="11">
        <v>3413.9835810419017</v>
      </c>
      <c r="H804" s="20">
        <f t="shared" si="50"/>
        <v>170699.17905209507</v>
      </c>
      <c r="I804" s="17">
        <f t="shared" si="51"/>
        <v>-261021.14932706687</v>
      </c>
    </row>
    <row r="805" spans="1:9" x14ac:dyDescent="0.35">
      <c r="A805" s="11">
        <v>13994.384594256417</v>
      </c>
      <c r="B805" s="20">
        <f t="shared" si="48"/>
        <v>300000</v>
      </c>
      <c r="C805" s="17">
        <f t="shared" si="49"/>
        <v>479606.92159794911</v>
      </c>
      <c r="G805" s="11">
        <v>4660.8172856837673</v>
      </c>
      <c r="H805" s="20">
        <f t="shared" si="50"/>
        <v>233040.86428418837</v>
      </c>
      <c r="I805" s="17">
        <f t="shared" si="51"/>
        <v>-173742.79000213632</v>
      </c>
    </row>
    <row r="806" spans="1:9" x14ac:dyDescent="0.35">
      <c r="A806" s="11">
        <v>12171.819208349863</v>
      </c>
      <c r="B806" s="20">
        <f t="shared" si="48"/>
        <v>300000</v>
      </c>
      <c r="C806" s="17">
        <f t="shared" si="49"/>
        <v>352027.34458449041</v>
      </c>
      <c r="G806" s="11">
        <v>4332.2855311746571</v>
      </c>
      <c r="H806" s="20">
        <f t="shared" si="50"/>
        <v>216614.27655873285</v>
      </c>
      <c r="I806" s="17">
        <f t="shared" si="51"/>
        <v>-196740.01281777403</v>
      </c>
    </row>
    <row r="807" spans="1:9" x14ac:dyDescent="0.35">
      <c r="A807" s="11">
        <v>16309.823908200324</v>
      </c>
      <c r="B807" s="20">
        <f t="shared" si="48"/>
        <v>300000</v>
      </c>
      <c r="C807" s="17">
        <f t="shared" si="49"/>
        <v>550000</v>
      </c>
      <c r="G807" s="11">
        <v>6486.1293374431589</v>
      </c>
      <c r="H807" s="20">
        <f t="shared" si="50"/>
        <v>300000</v>
      </c>
      <c r="I807" s="17">
        <f t="shared" si="51"/>
        <v>-45970.946378978901</v>
      </c>
    </row>
    <row r="808" spans="1:9" x14ac:dyDescent="0.35">
      <c r="A808" s="11">
        <v>16222.540971098972</v>
      </c>
      <c r="B808" s="20">
        <f t="shared" si="48"/>
        <v>300000</v>
      </c>
      <c r="C808" s="17">
        <f t="shared" si="49"/>
        <v>550000</v>
      </c>
      <c r="G808" s="11">
        <v>4809.1372417371131</v>
      </c>
      <c r="H808" s="20">
        <f t="shared" si="50"/>
        <v>240456.86208685566</v>
      </c>
      <c r="I808" s="17">
        <f t="shared" si="51"/>
        <v>-163360.39307840209</v>
      </c>
    </row>
    <row r="809" spans="1:9" x14ac:dyDescent="0.35">
      <c r="A809" s="11">
        <v>16993.743705557419</v>
      </c>
      <c r="B809" s="20">
        <f t="shared" si="48"/>
        <v>300000</v>
      </c>
      <c r="C809" s="17">
        <f t="shared" si="49"/>
        <v>550000</v>
      </c>
      <c r="G809" s="11">
        <v>3121.463667714469</v>
      </c>
      <c r="H809" s="20">
        <f t="shared" si="50"/>
        <v>156073.18338572345</v>
      </c>
      <c r="I809" s="17">
        <f t="shared" si="51"/>
        <v>-281497.54325998714</v>
      </c>
    </row>
    <row r="810" spans="1:9" x14ac:dyDescent="0.35">
      <c r="A810" s="11">
        <v>13187.932981353191</v>
      </c>
      <c r="B810" s="20">
        <f t="shared" si="48"/>
        <v>300000</v>
      </c>
      <c r="C810" s="17">
        <f t="shared" si="49"/>
        <v>423155.30869472341</v>
      </c>
      <c r="G810" s="11">
        <v>7937.1318704794458</v>
      </c>
      <c r="H810" s="20">
        <f t="shared" si="50"/>
        <v>300000</v>
      </c>
      <c r="I810" s="17">
        <f t="shared" si="51"/>
        <v>55599.230933561223</v>
      </c>
    </row>
    <row r="811" spans="1:9" x14ac:dyDescent="0.35">
      <c r="A811" s="11">
        <v>16471.419415875731</v>
      </c>
      <c r="B811" s="20">
        <f t="shared" si="48"/>
        <v>300000</v>
      </c>
      <c r="C811" s="17">
        <f t="shared" si="49"/>
        <v>550000</v>
      </c>
      <c r="G811" s="11">
        <v>7941.0992767113257</v>
      </c>
      <c r="H811" s="20">
        <f t="shared" si="50"/>
        <v>300000</v>
      </c>
      <c r="I811" s="17">
        <f t="shared" si="51"/>
        <v>55876.949369792826</v>
      </c>
    </row>
    <row r="812" spans="1:9" x14ac:dyDescent="0.35">
      <c r="A812" s="11">
        <v>16351.9394512772</v>
      </c>
      <c r="B812" s="20">
        <f t="shared" si="48"/>
        <v>300000</v>
      </c>
      <c r="C812" s="17">
        <f t="shared" si="49"/>
        <v>550000</v>
      </c>
      <c r="G812" s="11">
        <v>5951.7502365184482</v>
      </c>
      <c r="H812" s="20">
        <f t="shared" si="50"/>
        <v>297587.51182592241</v>
      </c>
      <c r="I812" s="17">
        <f t="shared" si="51"/>
        <v>-83377.483443708625</v>
      </c>
    </row>
    <row r="813" spans="1:9" x14ac:dyDescent="0.35">
      <c r="A813" s="11">
        <v>14030.091250343334</v>
      </c>
      <c r="B813" s="20">
        <f t="shared" si="48"/>
        <v>300000</v>
      </c>
      <c r="C813" s="17">
        <f t="shared" si="49"/>
        <v>482106.38752403331</v>
      </c>
      <c r="G813" s="11">
        <v>6227.6375621814623</v>
      </c>
      <c r="H813" s="20">
        <f t="shared" si="50"/>
        <v>300000</v>
      </c>
      <c r="I813" s="17">
        <f t="shared" si="51"/>
        <v>-64065.370647297648</v>
      </c>
    </row>
    <row r="814" spans="1:9" x14ac:dyDescent="0.35">
      <c r="A814" s="11">
        <v>12002.44148075808</v>
      </c>
      <c r="B814" s="20">
        <f t="shared" si="48"/>
        <v>300000</v>
      </c>
      <c r="C814" s="17">
        <f t="shared" si="49"/>
        <v>340170.90365306556</v>
      </c>
      <c r="G814" s="11">
        <v>4846.9801934873503</v>
      </c>
      <c r="H814" s="20">
        <f t="shared" si="50"/>
        <v>242349.00967436752</v>
      </c>
      <c r="I814" s="17">
        <f t="shared" si="51"/>
        <v>-160711.38645588548</v>
      </c>
    </row>
    <row r="815" spans="1:9" x14ac:dyDescent="0.35">
      <c r="A815" s="11">
        <v>13664.479506820888</v>
      </c>
      <c r="B815" s="20">
        <f t="shared" si="48"/>
        <v>300000</v>
      </c>
      <c r="C815" s="17">
        <f t="shared" si="49"/>
        <v>456513.56547746214</v>
      </c>
      <c r="G815" s="11">
        <v>6035.5235450300606</v>
      </c>
      <c r="H815" s="20">
        <f t="shared" si="50"/>
        <v>300000</v>
      </c>
      <c r="I815" s="17">
        <f t="shared" si="51"/>
        <v>-77513.35184789577</v>
      </c>
    </row>
    <row r="816" spans="1:9" x14ac:dyDescent="0.35">
      <c r="A816" s="11">
        <v>13637.623218482009</v>
      </c>
      <c r="B816" s="20">
        <f t="shared" si="48"/>
        <v>300000</v>
      </c>
      <c r="C816" s="17">
        <f t="shared" si="49"/>
        <v>454633.62529374065</v>
      </c>
      <c r="G816" s="11">
        <v>7666.4326914273506</v>
      </c>
      <c r="H816" s="20">
        <f t="shared" si="50"/>
        <v>300000</v>
      </c>
      <c r="I816" s="17">
        <f t="shared" si="51"/>
        <v>36650.288399914512</v>
      </c>
    </row>
    <row r="817" spans="1:9" x14ac:dyDescent="0.35">
      <c r="A817" s="11">
        <v>16250.770592364268</v>
      </c>
      <c r="B817" s="20">
        <f t="shared" si="48"/>
        <v>300000</v>
      </c>
      <c r="C817" s="17">
        <f t="shared" si="49"/>
        <v>550000</v>
      </c>
      <c r="G817" s="11">
        <v>5677.8466139713737</v>
      </c>
      <c r="H817" s="20">
        <f t="shared" si="50"/>
        <v>283892.33069856866</v>
      </c>
      <c r="I817" s="17">
        <f t="shared" si="51"/>
        <v>-102550.73702200386</v>
      </c>
    </row>
    <row r="818" spans="1:9" x14ac:dyDescent="0.35">
      <c r="A818" s="11">
        <v>16084.902493362224</v>
      </c>
      <c r="B818" s="20">
        <f t="shared" si="48"/>
        <v>300000</v>
      </c>
      <c r="C818" s="17">
        <f t="shared" si="49"/>
        <v>550000</v>
      </c>
      <c r="G818" s="11">
        <v>4949.9801629688409</v>
      </c>
      <c r="H818" s="20">
        <f t="shared" si="50"/>
        <v>247499.00814844205</v>
      </c>
      <c r="I818" s="17">
        <f t="shared" si="51"/>
        <v>-153501.38859218115</v>
      </c>
    </row>
    <row r="819" spans="1:9" x14ac:dyDescent="0.35">
      <c r="A819" s="11">
        <v>15249.15311136204</v>
      </c>
      <c r="B819" s="20">
        <f t="shared" si="48"/>
        <v>300000</v>
      </c>
      <c r="C819" s="17">
        <f t="shared" si="49"/>
        <v>550000</v>
      </c>
      <c r="G819" s="11">
        <v>3657.3686941129795</v>
      </c>
      <c r="H819" s="20">
        <f t="shared" si="50"/>
        <v>182868.43470564898</v>
      </c>
      <c r="I819" s="17">
        <f t="shared" si="51"/>
        <v>-243984.19141209143</v>
      </c>
    </row>
    <row r="820" spans="1:9" x14ac:dyDescent="0.35">
      <c r="A820" s="11">
        <v>14195.806756797998</v>
      </c>
      <c r="B820" s="20">
        <f t="shared" si="48"/>
        <v>300000</v>
      </c>
      <c r="C820" s="17">
        <f t="shared" si="49"/>
        <v>493706.47297585988</v>
      </c>
      <c r="G820" s="11">
        <v>6135.0138859218114</v>
      </c>
      <c r="H820" s="20">
        <f t="shared" si="50"/>
        <v>300000</v>
      </c>
      <c r="I820" s="17">
        <f t="shared" si="51"/>
        <v>-70549.027985473222</v>
      </c>
    </row>
    <row r="821" spans="1:9" x14ac:dyDescent="0.35">
      <c r="A821" s="11">
        <v>13220.435193945128</v>
      </c>
      <c r="B821" s="20">
        <f t="shared" si="48"/>
        <v>300000</v>
      </c>
      <c r="C821" s="17">
        <f t="shared" si="49"/>
        <v>425430.46357615897</v>
      </c>
      <c r="G821" s="11">
        <v>5888.1191442609943</v>
      </c>
      <c r="H821" s="20">
        <f t="shared" si="50"/>
        <v>294405.9572130497</v>
      </c>
      <c r="I821" s="17">
        <f t="shared" si="51"/>
        <v>-87831.659901730425</v>
      </c>
    </row>
    <row r="822" spans="1:9" x14ac:dyDescent="0.35">
      <c r="A822" s="11">
        <v>15502.914517654957</v>
      </c>
      <c r="B822" s="20">
        <f t="shared" si="48"/>
        <v>300000</v>
      </c>
      <c r="C822" s="17">
        <f t="shared" si="49"/>
        <v>550000</v>
      </c>
      <c r="G822" s="11">
        <v>3613.1168553727834</v>
      </c>
      <c r="H822" s="20">
        <f t="shared" si="50"/>
        <v>180655.84276863918</v>
      </c>
      <c r="I822" s="17">
        <f t="shared" si="51"/>
        <v>-247081.82012390517</v>
      </c>
    </row>
    <row r="823" spans="1:9" x14ac:dyDescent="0.35">
      <c r="A823" s="11">
        <v>12234.992522965178</v>
      </c>
      <c r="B823" s="20">
        <f t="shared" si="48"/>
        <v>300000</v>
      </c>
      <c r="C823" s="17">
        <f t="shared" si="49"/>
        <v>356449.47660756251</v>
      </c>
      <c r="G823" s="11">
        <v>6358.1041901913504</v>
      </c>
      <c r="H823" s="20">
        <f t="shared" si="50"/>
        <v>300000</v>
      </c>
      <c r="I823" s="17">
        <f t="shared" si="51"/>
        <v>-54932.706686605467</v>
      </c>
    </row>
    <row r="824" spans="1:9" x14ac:dyDescent="0.35">
      <c r="A824" s="11">
        <v>13856.593523972289</v>
      </c>
      <c r="B824" s="20">
        <f t="shared" si="48"/>
        <v>300000</v>
      </c>
      <c r="C824" s="17">
        <f t="shared" si="49"/>
        <v>469961.5466780602</v>
      </c>
      <c r="G824" s="11">
        <v>7245.2772606585895</v>
      </c>
      <c r="H824" s="20">
        <f t="shared" si="50"/>
        <v>300000</v>
      </c>
      <c r="I824" s="17">
        <f t="shared" si="51"/>
        <v>7169.4082461012877</v>
      </c>
    </row>
    <row r="825" spans="1:9" x14ac:dyDescent="0.35">
      <c r="A825" s="11">
        <v>13368.907742545854</v>
      </c>
      <c r="B825" s="20">
        <f t="shared" si="48"/>
        <v>300000</v>
      </c>
      <c r="C825" s="17">
        <f t="shared" si="49"/>
        <v>435823.54197820986</v>
      </c>
      <c r="G825" s="11">
        <v>4071.1996826075015</v>
      </c>
      <c r="H825" s="20">
        <f t="shared" si="50"/>
        <v>203559.98413037509</v>
      </c>
      <c r="I825" s="17">
        <f t="shared" si="51"/>
        <v>-215016.02221747488</v>
      </c>
    </row>
    <row r="826" spans="1:9" x14ac:dyDescent="0.35">
      <c r="A826" s="11">
        <v>14705.618457594532</v>
      </c>
      <c r="B826" s="20">
        <f t="shared" si="48"/>
        <v>300000</v>
      </c>
      <c r="C826" s="17">
        <f t="shared" si="49"/>
        <v>529393.29203161725</v>
      </c>
      <c r="G826" s="11">
        <v>7072.0847193823047</v>
      </c>
      <c r="H826" s="20">
        <f t="shared" si="50"/>
        <v>300000</v>
      </c>
      <c r="I826" s="17">
        <f t="shared" si="51"/>
        <v>-4954.0696432386758</v>
      </c>
    </row>
    <row r="827" spans="1:9" x14ac:dyDescent="0.35">
      <c r="A827" s="11">
        <v>14558.519241920225</v>
      </c>
      <c r="B827" s="20">
        <f t="shared" si="48"/>
        <v>300000</v>
      </c>
      <c r="C827" s="17">
        <f t="shared" si="49"/>
        <v>519096.34693441575</v>
      </c>
      <c r="G827" s="11">
        <v>4310.6173894466992</v>
      </c>
      <c r="H827" s="20">
        <f t="shared" si="50"/>
        <v>215530.86947233498</v>
      </c>
      <c r="I827" s="17">
        <f t="shared" si="51"/>
        <v>-198256.78273873107</v>
      </c>
    </row>
    <row r="828" spans="1:9" x14ac:dyDescent="0.35">
      <c r="A828" s="11">
        <v>15459.883419293801</v>
      </c>
      <c r="B828" s="20">
        <f t="shared" si="48"/>
        <v>300000</v>
      </c>
      <c r="C828" s="17">
        <f t="shared" si="49"/>
        <v>550000</v>
      </c>
      <c r="G828" s="11">
        <v>6339.4878994109931</v>
      </c>
      <c r="H828" s="20">
        <f t="shared" si="50"/>
        <v>300000</v>
      </c>
      <c r="I828" s="17">
        <f t="shared" si="51"/>
        <v>-56235.847041230474</v>
      </c>
    </row>
    <row r="829" spans="1:9" x14ac:dyDescent="0.35">
      <c r="A829" s="11">
        <v>12729.850154118472</v>
      </c>
      <c r="B829" s="20">
        <f t="shared" si="48"/>
        <v>300000</v>
      </c>
      <c r="C829" s="17">
        <f t="shared" si="49"/>
        <v>391089.51078829309</v>
      </c>
      <c r="G829" s="11">
        <v>4113.7730033265179</v>
      </c>
      <c r="H829" s="20">
        <f t="shared" si="50"/>
        <v>205688.65016632591</v>
      </c>
      <c r="I829" s="17">
        <f t="shared" si="51"/>
        <v>-212035.88976714376</v>
      </c>
    </row>
    <row r="830" spans="1:9" x14ac:dyDescent="0.35">
      <c r="A830" s="11">
        <v>14433.240760521256</v>
      </c>
      <c r="B830" s="20">
        <f t="shared" si="48"/>
        <v>300000</v>
      </c>
      <c r="C830" s="17">
        <f t="shared" si="49"/>
        <v>510326.85323648795</v>
      </c>
      <c r="G830" s="11">
        <v>6422.4982451857049</v>
      </c>
      <c r="H830" s="20">
        <f t="shared" si="50"/>
        <v>300000</v>
      </c>
      <c r="I830" s="17">
        <f t="shared" si="51"/>
        <v>-50425.122837000643</v>
      </c>
    </row>
    <row r="831" spans="1:9" x14ac:dyDescent="0.35">
      <c r="A831" s="11">
        <v>15978.240302743614</v>
      </c>
      <c r="B831" s="20">
        <f t="shared" si="48"/>
        <v>300000</v>
      </c>
      <c r="C831" s="17">
        <f t="shared" si="49"/>
        <v>550000</v>
      </c>
      <c r="G831" s="11">
        <v>3457.9302346873378</v>
      </c>
      <c r="H831" s="20">
        <f t="shared" si="50"/>
        <v>172896.51173436688</v>
      </c>
      <c r="I831" s="17">
        <f t="shared" si="51"/>
        <v>-257944.88357188634</v>
      </c>
    </row>
    <row r="832" spans="1:9" x14ac:dyDescent="0.35">
      <c r="A832" s="11">
        <v>12293.435468611713</v>
      </c>
      <c r="B832" s="20">
        <f t="shared" si="48"/>
        <v>300000</v>
      </c>
      <c r="C832" s="17">
        <f t="shared" si="49"/>
        <v>360540.48280281993</v>
      </c>
      <c r="G832" s="11">
        <v>5396.160771507919</v>
      </c>
      <c r="H832" s="20">
        <f t="shared" si="50"/>
        <v>269808.03857539594</v>
      </c>
      <c r="I832" s="17">
        <f t="shared" si="51"/>
        <v>-122268.74599444569</v>
      </c>
    </row>
    <row r="833" spans="1:9" x14ac:dyDescent="0.35">
      <c r="A833" s="11">
        <v>15250.526444288462</v>
      </c>
      <c r="B833" s="20">
        <f t="shared" si="48"/>
        <v>300000</v>
      </c>
      <c r="C833" s="17">
        <f t="shared" si="49"/>
        <v>550000</v>
      </c>
      <c r="G833" s="11">
        <v>3159.6118045594653</v>
      </c>
      <c r="H833" s="20">
        <f t="shared" si="50"/>
        <v>157980.59022797327</v>
      </c>
      <c r="I833" s="17">
        <f t="shared" si="51"/>
        <v>-278827.17368083744</v>
      </c>
    </row>
    <row r="834" spans="1:9" x14ac:dyDescent="0.35">
      <c r="A834" s="11">
        <v>13910.153508102665</v>
      </c>
      <c r="B834" s="20">
        <f t="shared" si="48"/>
        <v>300000</v>
      </c>
      <c r="C834" s="17">
        <f t="shared" si="49"/>
        <v>473710.7455671865</v>
      </c>
      <c r="G834" s="11">
        <v>3498.2146671956543</v>
      </c>
      <c r="H834" s="20">
        <f t="shared" si="50"/>
        <v>174910.73335978272</v>
      </c>
      <c r="I834" s="17">
        <f t="shared" si="51"/>
        <v>-255124.9732963042</v>
      </c>
    </row>
    <row r="835" spans="1:9" x14ac:dyDescent="0.35">
      <c r="A835" s="11">
        <v>13120.181890316477</v>
      </c>
      <c r="B835" s="20">
        <f t="shared" si="48"/>
        <v>300000</v>
      </c>
      <c r="C835" s="17">
        <f t="shared" si="49"/>
        <v>418412.7323221534</v>
      </c>
      <c r="G835" s="11">
        <v>6006.8361461226232</v>
      </c>
      <c r="H835" s="20">
        <f t="shared" si="50"/>
        <v>300000</v>
      </c>
      <c r="I835" s="17">
        <f t="shared" si="51"/>
        <v>-79521.469771416392</v>
      </c>
    </row>
    <row r="836" spans="1:9" x14ac:dyDescent="0.35">
      <c r="A836" s="11">
        <v>14080.141605883968</v>
      </c>
      <c r="B836" s="20">
        <f t="shared" si="48"/>
        <v>300000</v>
      </c>
      <c r="C836" s="17">
        <f t="shared" si="49"/>
        <v>485609.91241187777</v>
      </c>
      <c r="G836" s="11">
        <v>7173.2535782952364</v>
      </c>
      <c r="H836" s="20">
        <f t="shared" si="50"/>
        <v>300000</v>
      </c>
      <c r="I836" s="17">
        <f t="shared" si="51"/>
        <v>2127.7504806665238</v>
      </c>
    </row>
    <row r="837" spans="1:9" x14ac:dyDescent="0.35">
      <c r="A837" s="11">
        <v>15456.831568346202</v>
      </c>
      <c r="B837" s="20">
        <f t="shared" si="48"/>
        <v>300000</v>
      </c>
      <c r="C837" s="17">
        <f t="shared" si="49"/>
        <v>550000</v>
      </c>
      <c r="G837" s="11">
        <v>7302.8046510208442</v>
      </c>
      <c r="H837" s="20">
        <f t="shared" si="50"/>
        <v>300000</v>
      </c>
      <c r="I837" s="17">
        <f t="shared" si="51"/>
        <v>11196.325571459078</v>
      </c>
    </row>
    <row r="838" spans="1:9" x14ac:dyDescent="0.35">
      <c r="A838" s="11">
        <v>15977.172154911954</v>
      </c>
      <c r="B838" s="20">
        <f t="shared" si="48"/>
        <v>300000</v>
      </c>
      <c r="C838" s="17">
        <f t="shared" si="49"/>
        <v>550000</v>
      </c>
      <c r="G838" s="11">
        <v>4413.7699514755695</v>
      </c>
      <c r="H838" s="20">
        <f t="shared" si="50"/>
        <v>220688.49757377847</v>
      </c>
      <c r="I838" s="17">
        <f t="shared" si="51"/>
        <v>-191036.10339671012</v>
      </c>
    </row>
    <row r="839" spans="1:9" x14ac:dyDescent="0.35">
      <c r="A839" s="11">
        <v>15707.08334604938</v>
      </c>
      <c r="B839" s="20">
        <f t="shared" si="48"/>
        <v>300000</v>
      </c>
      <c r="C839" s="17">
        <f t="shared" si="49"/>
        <v>550000</v>
      </c>
      <c r="G839" s="11">
        <v>7922.9407635731068</v>
      </c>
      <c r="H839" s="20">
        <f t="shared" si="50"/>
        <v>300000</v>
      </c>
      <c r="I839" s="17">
        <f t="shared" si="51"/>
        <v>54605.853450117516</v>
      </c>
    </row>
    <row r="840" spans="1:9" x14ac:dyDescent="0.35">
      <c r="A840" s="11">
        <v>14419.354838709678</v>
      </c>
      <c r="B840" s="20">
        <f t="shared" si="48"/>
        <v>300000</v>
      </c>
      <c r="C840" s="17">
        <f t="shared" si="49"/>
        <v>509354.83870967745</v>
      </c>
      <c r="G840" s="11">
        <v>3345.6221198156682</v>
      </c>
      <c r="H840" s="20">
        <f t="shared" si="50"/>
        <v>167281.1059907834</v>
      </c>
      <c r="I840" s="17">
        <f t="shared" si="51"/>
        <v>-265806.45161290327</v>
      </c>
    </row>
    <row r="841" spans="1:9" x14ac:dyDescent="0.35">
      <c r="A841" s="11">
        <v>16752.037110507525</v>
      </c>
      <c r="B841" s="20">
        <f t="shared" si="48"/>
        <v>300000</v>
      </c>
      <c r="C841" s="17">
        <f t="shared" si="49"/>
        <v>550000</v>
      </c>
      <c r="G841" s="11">
        <v>5299.7222815637688</v>
      </c>
      <c r="H841" s="20">
        <f t="shared" si="50"/>
        <v>264986.11407818843</v>
      </c>
      <c r="I841" s="17">
        <f t="shared" si="51"/>
        <v>-129019.44029053621</v>
      </c>
    </row>
    <row r="842" spans="1:9" x14ac:dyDescent="0.35">
      <c r="A842" s="11">
        <v>15319.803460798976</v>
      </c>
      <c r="B842" s="20">
        <f t="shared" si="48"/>
        <v>300000</v>
      </c>
      <c r="C842" s="17">
        <f t="shared" si="49"/>
        <v>550000</v>
      </c>
      <c r="G842" s="11">
        <v>4054.5670949430832</v>
      </c>
      <c r="H842" s="20">
        <f t="shared" si="50"/>
        <v>202728.35474715417</v>
      </c>
      <c r="I842" s="17">
        <f t="shared" si="51"/>
        <v>-216180.3033539842</v>
      </c>
    </row>
    <row r="843" spans="1:9" x14ac:dyDescent="0.35">
      <c r="A843" s="11">
        <v>12496.993926816614</v>
      </c>
      <c r="B843" s="20">
        <f t="shared" si="48"/>
        <v>300000</v>
      </c>
      <c r="C843" s="17">
        <f t="shared" si="49"/>
        <v>374789.57487716305</v>
      </c>
      <c r="G843" s="11">
        <v>3585.1924192022461</v>
      </c>
      <c r="H843" s="20">
        <f t="shared" si="50"/>
        <v>179259.62096011231</v>
      </c>
      <c r="I843" s="17">
        <f t="shared" si="51"/>
        <v>-249036.53065584277</v>
      </c>
    </row>
    <row r="844" spans="1:9" x14ac:dyDescent="0.35">
      <c r="A844" s="11">
        <v>16090.701010162664</v>
      </c>
      <c r="B844" s="20">
        <f t="shared" si="48"/>
        <v>300000</v>
      </c>
      <c r="C844" s="17">
        <f t="shared" si="49"/>
        <v>550000</v>
      </c>
      <c r="G844" s="11">
        <v>6169.1946165349282</v>
      </c>
      <c r="H844" s="20">
        <f t="shared" si="50"/>
        <v>300000</v>
      </c>
      <c r="I844" s="17">
        <f t="shared" si="51"/>
        <v>-68156.376842555008</v>
      </c>
    </row>
    <row r="845" spans="1:9" x14ac:dyDescent="0.35">
      <c r="A845" s="11">
        <v>16131.5958128605</v>
      </c>
      <c r="B845" s="20">
        <f t="shared" si="48"/>
        <v>300000</v>
      </c>
      <c r="C845" s="17">
        <f t="shared" si="49"/>
        <v>550000</v>
      </c>
      <c r="G845" s="11">
        <v>6704.3366801965394</v>
      </c>
      <c r="H845" s="20">
        <f t="shared" si="50"/>
        <v>300000</v>
      </c>
      <c r="I845" s="17">
        <f t="shared" si="51"/>
        <v>-30696.432386242261</v>
      </c>
    </row>
    <row r="846" spans="1:9" x14ac:dyDescent="0.35">
      <c r="A846" s="11">
        <v>12448.011719107639</v>
      </c>
      <c r="B846" s="20">
        <f t="shared" si="48"/>
        <v>300000</v>
      </c>
      <c r="C846" s="17">
        <f t="shared" si="49"/>
        <v>371360.82033753477</v>
      </c>
      <c r="G846" s="11">
        <v>7296.090578936125</v>
      </c>
      <c r="H846" s="20">
        <f t="shared" si="50"/>
        <v>300000</v>
      </c>
      <c r="I846" s="17">
        <f t="shared" si="51"/>
        <v>10726.340525528765</v>
      </c>
    </row>
    <row r="847" spans="1:9" x14ac:dyDescent="0.35">
      <c r="A847" s="11">
        <v>14969.756157109287</v>
      </c>
      <c r="B847" s="20">
        <f t="shared" si="48"/>
        <v>300000</v>
      </c>
      <c r="C847" s="17">
        <f t="shared" si="49"/>
        <v>547882.93099765002</v>
      </c>
      <c r="G847" s="11">
        <v>5254.7074800866721</v>
      </c>
      <c r="H847" s="20">
        <f t="shared" si="50"/>
        <v>262735.37400433363</v>
      </c>
      <c r="I847" s="17">
        <f t="shared" si="51"/>
        <v>-132170.47639393294</v>
      </c>
    </row>
    <row r="848" spans="1:9" x14ac:dyDescent="0.35">
      <c r="A848" s="11">
        <v>13124.912259285256</v>
      </c>
      <c r="B848" s="20">
        <f t="shared" si="48"/>
        <v>300000</v>
      </c>
      <c r="C848" s="17">
        <f t="shared" si="49"/>
        <v>418743.85814996797</v>
      </c>
      <c r="G848" s="11">
        <v>5699.5147556993315</v>
      </c>
      <c r="H848" s="20">
        <f t="shared" si="50"/>
        <v>284975.73778496659</v>
      </c>
      <c r="I848" s="17">
        <f t="shared" si="51"/>
        <v>-101033.96710104682</v>
      </c>
    </row>
    <row r="849" spans="1:9" x14ac:dyDescent="0.35">
      <c r="A849" s="11">
        <v>13595.202490310374</v>
      </c>
      <c r="B849" s="20">
        <f t="shared" si="48"/>
        <v>300000</v>
      </c>
      <c r="C849" s="17">
        <f t="shared" si="49"/>
        <v>451664.1743217262</v>
      </c>
      <c r="G849" s="11">
        <v>3333.7199011200291</v>
      </c>
      <c r="H849" s="20">
        <f t="shared" si="50"/>
        <v>166685.99505600147</v>
      </c>
      <c r="I849" s="17">
        <f t="shared" si="51"/>
        <v>-266639.60692159797</v>
      </c>
    </row>
    <row r="850" spans="1:9" x14ac:dyDescent="0.35">
      <c r="A850" s="11">
        <v>13585.436567278055</v>
      </c>
      <c r="B850" s="20">
        <f t="shared" si="48"/>
        <v>300000</v>
      </c>
      <c r="C850" s="17">
        <f t="shared" si="49"/>
        <v>450980.55970946385</v>
      </c>
      <c r="G850" s="11">
        <v>5232.1237830744349</v>
      </c>
      <c r="H850" s="20">
        <f t="shared" si="50"/>
        <v>261606.18915372173</v>
      </c>
      <c r="I850" s="17">
        <f t="shared" si="51"/>
        <v>-133751.33518478955</v>
      </c>
    </row>
    <row r="851" spans="1:9" x14ac:dyDescent="0.35">
      <c r="A851" s="11">
        <v>13285.744804223761</v>
      </c>
      <c r="B851" s="20">
        <f t="shared" si="48"/>
        <v>300000</v>
      </c>
      <c r="C851" s="17">
        <f t="shared" si="49"/>
        <v>430002.13629566331</v>
      </c>
      <c r="G851" s="11">
        <v>7513.2297738578445</v>
      </c>
      <c r="H851" s="20">
        <f t="shared" si="50"/>
        <v>300000</v>
      </c>
      <c r="I851" s="17">
        <f t="shared" si="51"/>
        <v>25926.084170049173</v>
      </c>
    </row>
    <row r="852" spans="1:9" x14ac:dyDescent="0.35">
      <c r="A852" s="11">
        <v>16048.890652180547</v>
      </c>
      <c r="B852" s="20">
        <f t="shared" si="48"/>
        <v>300000</v>
      </c>
      <c r="C852" s="17">
        <f t="shared" si="49"/>
        <v>550000</v>
      </c>
      <c r="G852" s="11">
        <v>7100.772118289743</v>
      </c>
      <c r="H852" s="20">
        <f t="shared" si="50"/>
        <v>300000</v>
      </c>
      <c r="I852" s="17">
        <f t="shared" si="51"/>
        <v>-2945.9517197179957</v>
      </c>
    </row>
    <row r="853" spans="1:9" x14ac:dyDescent="0.35">
      <c r="A853" s="11">
        <v>12038.453321939756</v>
      </c>
      <c r="B853" s="20">
        <f t="shared" si="48"/>
        <v>300000</v>
      </c>
      <c r="C853" s="17">
        <f t="shared" si="49"/>
        <v>342691.73253578297</v>
      </c>
      <c r="G853" s="11">
        <v>5470.1681569872126</v>
      </c>
      <c r="H853" s="20">
        <f t="shared" si="50"/>
        <v>273508.40784936061</v>
      </c>
      <c r="I853" s="17">
        <f t="shared" si="51"/>
        <v>-117088.22901089513</v>
      </c>
    </row>
    <row r="854" spans="1:9" x14ac:dyDescent="0.35">
      <c r="A854" s="11">
        <v>14121.189001129185</v>
      </c>
      <c r="B854" s="20">
        <f t="shared" si="48"/>
        <v>300000</v>
      </c>
      <c r="C854" s="17">
        <f t="shared" si="49"/>
        <v>488483.23007904296</v>
      </c>
      <c r="G854" s="11">
        <v>7195.5320902127141</v>
      </c>
      <c r="H854" s="20">
        <f t="shared" si="50"/>
        <v>300000</v>
      </c>
      <c r="I854" s="17">
        <f t="shared" si="51"/>
        <v>3687.2463148899842</v>
      </c>
    </row>
    <row r="855" spans="1:9" x14ac:dyDescent="0.35">
      <c r="A855" s="11">
        <v>16553.361613818779</v>
      </c>
      <c r="B855" s="20">
        <f t="shared" si="48"/>
        <v>300000</v>
      </c>
      <c r="C855" s="17">
        <f t="shared" si="49"/>
        <v>550000</v>
      </c>
      <c r="G855" s="11">
        <v>4328.6233100375375</v>
      </c>
      <c r="H855" s="20">
        <f t="shared" si="50"/>
        <v>216431.16550187688</v>
      </c>
      <c r="I855" s="17">
        <f t="shared" si="51"/>
        <v>-196996.36829737236</v>
      </c>
    </row>
    <row r="856" spans="1:9" x14ac:dyDescent="0.35">
      <c r="A856" s="11">
        <v>14209.692678609576</v>
      </c>
      <c r="B856" s="20">
        <f t="shared" si="48"/>
        <v>300000</v>
      </c>
      <c r="C856" s="17">
        <f t="shared" si="49"/>
        <v>494678.48750267026</v>
      </c>
      <c r="G856" s="11">
        <v>5071.7490157780694</v>
      </c>
      <c r="H856" s="20">
        <f t="shared" si="50"/>
        <v>253587.45078890346</v>
      </c>
      <c r="I856" s="17">
        <f t="shared" si="51"/>
        <v>-144977.56889553514</v>
      </c>
    </row>
    <row r="857" spans="1:9" x14ac:dyDescent="0.35">
      <c r="A857" s="11">
        <v>15902.096621601002</v>
      </c>
      <c r="B857" s="20">
        <f t="shared" si="48"/>
        <v>300000</v>
      </c>
      <c r="C857" s="17">
        <f t="shared" si="49"/>
        <v>550000</v>
      </c>
      <c r="G857" s="11">
        <v>6704.6418652912998</v>
      </c>
      <c r="H857" s="20">
        <f t="shared" si="50"/>
        <v>300000</v>
      </c>
      <c r="I857" s="17">
        <f t="shared" si="51"/>
        <v>-30675.069429608993</v>
      </c>
    </row>
    <row r="858" spans="1:9" x14ac:dyDescent="0.35">
      <c r="A858" s="11">
        <v>15783.837397381512</v>
      </c>
      <c r="B858" s="20">
        <f t="shared" si="48"/>
        <v>300000</v>
      </c>
      <c r="C858" s="17">
        <f t="shared" si="49"/>
        <v>550000</v>
      </c>
      <c r="G858" s="11">
        <v>6848.231452375866</v>
      </c>
      <c r="H858" s="20">
        <f t="shared" si="50"/>
        <v>300000</v>
      </c>
      <c r="I858" s="17">
        <f t="shared" si="51"/>
        <v>-20623.798333689396</v>
      </c>
    </row>
    <row r="859" spans="1:9" x14ac:dyDescent="0.35">
      <c r="A859" s="11">
        <v>16933.317056794946</v>
      </c>
      <c r="B859" s="20">
        <f t="shared" si="48"/>
        <v>300000</v>
      </c>
      <c r="C859" s="17">
        <f t="shared" si="49"/>
        <v>550000</v>
      </c>
      <c r="G859" s="11">
        <v>3905.6367687002166</v>
      </c>
      <c r="H859" s="20">
        <f t="shared" si="50"/>
        <v>195281.83843501084</v>
      </c>
      <c r="I859" s="17">
        <f t="shared" si="51"/>
        <v>-226605.42619098484</v>
      </c>
    </row>
    <row r="860" spans="1:9" x14ac:dyDescent="0.35">
      <c r="A860" s="11">
        <v>16586.626789147616</v>
      </c>
      <c r="B860" s="20">
        <f t="shared" si="48"/>
        <v>300000</v>
      </c>
      <c r="C860" s="17">
        <f t="shared" si="49"/>
        <v>550000</v>
      </c>
      <c r="G860" s="11">
        <v>4923.7342448194831</v>
      </c>
      <c r="H860" s="20">
        <f t="shared" si="50"/>
        <v>246186.71224097416</v>
      </c>
      <c r="I860" s="17">
        <f t="shared" si="51"/>
        <v>-155338.60286263621</v>
      </c>
    </row>
    <row r="861" spans="1:9" x14ac:dyDescent="0.35">
      <c r="A861" s="11">
        <v>14364.116336558123</v>
      </c>
      <c r="B861" s="20">
        <f t="shared" si="48"/>
        <v>300000</v>
      </c>
      <c r="C861" s="17">
        <f t="shared" si="49"/>
        <v>505488.14355906867</v>
      </c>
      <c r="G861" s="11">
        <v>3830.5612353892639</v>
      </c>
      <c r="H861" s="20">
        <f t="shared" si="50"/>
        <v>191528.06176946318</v>
      </c>
      <c r="I861" s="17">
        <f t="shared" si="51"/>
        <v>-231860.71352275152</v>
      </c>
    </row>
    <row r="862" spans="1:9" x14ac:dyDescent="0.35">
      <c r="A862" s="11">
        <v>15191.320535905026</v>
      </c>
      <c r="B862" s="20">
        <f t="shared" si="48"/>
        <v>300000</v>
      </c>
      <c r="C862" s="17">
        <f t="shared" si="49"/>
        <v>550000</v>
      </c>
      <c r="G862" s="11">
        <v>3128.6355174413284</v>
      </c>
      <c r="H862" s="20">
        <f t="shared" si="50"/>
        <v>156431.77587206641</v>
      </c>
      <c r="I862" s="17">
        <f t="shared" si="51"/>
        <v>-280995.51377910702</v>
      </c>
    </row>
    <row r="863" spans="1:9" x14ac:dyDescent="0.35">
      <c r="A863" s="11">
        <v>14612.38441114536</v>
      </c>
      <c r="B863" s="20">
        <f t="shared" si="48"/>
        <v>300000</v>
      </c>
      <c r="C863" s="17">
        <f t="shared" si="49"/>
        <v>522866.90878017514</v>
      </c>
      <c r="G863" s="11">
        <v>3973.3878597369303</v>
      </c>
      <c r="H863" s="20">
        <f t="shared" si="50"/>
        <v>198669.39298684651</v>
      </c>
      <c r="I863" s="17">
        <f t="shared" si="51"/>
        <v>-221862.84981841489</v>
      </c>
    </row>
    <row r="864" spans="1:9" x14ac:dyDescent="0.35">
      <c r="A864" s="11">
        <v>14994.323557237465</v>
      </c>
      <c r="B864" s="20">
        <f t="shared" si="48"/>
        <v>300000</v>
      </c>
      <c r="C864" s="17">
        <f t="shared" si="49"/>
        <v>549602.64900662261</v>
      </c>
      <c r="G864" s="11">
        <v>7339.1216772972803</v>
      </c>
      <c r="H864" s="20">
        <f t="shared" si="50"/>
        <v>300000</v>
      </c>
      <c r="I864" s="17">
        <f t="shared" si="51"/>
        <v>13738.51741080964</v>
      </c>
    </row>
    <row r="865" spans="1:9" x14ac:dyDescent="0.35">
      <c r="A865" s="11">
        <v>12354.014709921568</v>
      </c>
      <c r="B865" s="20">
        <f t="shared" si="48"/>
        <v>300000</v>
      </c>
      <c r="C865" s="17">
        <f t="shared" si="49"/>
        <v>364781.02969450981</v>
      </c>
      <c r="G865" s="11">
        <v>5692.4954985198528</v>
      </c>
      <c r="H865" s="20">
        <f t="shared" si="50"/>
        <v>284624.77492599265</v>
      </c>
      <c r="I865" s="17">
        <f t="shared" si="51"/>
        <v>-101525.31510361028</v>
      </c>
    </row>
    <row r="866" spans="1:9" x14ac:dyDescent="0.35">
      <c r="A866" s="11">
        <v>13935.331278420363</v>
      </c>
      <c r="B866" s="20">
        <f t="shared" ref="B866:B929" si="52">50*MIN(6000,A866)</f>
        <v>300000</v>
      </c>
      <c r="C866" s="17">
        <f t="shared" ref="C866:C929" si="53">70*MIN(15000,A866)-500000</f>
        <v>475473.18948942539</v>
      </c>
      <c r="G866" s="11">
        <v>4330.7596057008577</v>
      </c>
      <c r="H866" s="20">
        <f t="shared" ref="H866:H929" si="54">50*MIN(6000,G866)</f>
        <v>216537.9802850429</v>
      </c>
      <c r="I866" s="17">
        <f t="shared" ref="I866:I929" si="55">70*MIN(15000,G866)-500000</f>
        <v>-196846.82760093996</v>
      </c>
    </row>
    <row r="867" spans="1:9" x14ac:dyDescent="0.35">
      <c r="A867" s="11">
        <v>13178.014465773491</v>
      </c>
      <c r="B867" s="20">
        <f t="shared" si="52"/>
        <v>300000</v>
      </c>
      <c r="C867" s="17">
        <f t="shared" si="53"/>
        <v>422461.0126041444</v>
      </c>
      <c r="G867" s="11">
        <v>7669.9423200170904</v>
      </c>
      <c r="H867" s="20">
        <f t="shared" si="54"/>
        <v>300000</v>
      </c>
      <c r="I867" s="17">
        <f t="shared" si="55"/>
        <v>36895.962401196361</v>
      </c>
    </row>
    <row r="868" spans="1:9" x14ac:dyDescent="0.35">
      <c r="A868" s="11">
        <v>16085.818048646504</v>
      </c>
      <c r="B868" s="20">
        <f t="shared" si="52"/>
        <v>300000</v>
      </c>
      <c r="C868" s="17">
        <f t="shared" si="53"/>
        <v>550000</v>
      </c>
      <c r="G868" s="11">
        <v>6342.9975280007329</v>
      </c>
      <c r="H868" s="20">
        <f t="shared" si="54"/>
        <v>300000</v>
      </c>
      <c r="I868" s="17">
        <f t="shared" si="55"/>
        <v>-55990.173039948684</v>
      </c>
    </row>
    <row r="869" spans="1:9" x14ac:dyDescent="0.35">
      <c r="A869" s="11">
        <v>15169.499801629689</v>
      </c>
      <c r="B869" s="20">
        <f t="shared" si="52"/>
        <v>300000</v>
      </c>
      <c r="C869" s="17">
        <f t="shared" si="53"/>
        <v>550000</v>
      </c>
      <c r="G869" s="11">
        <v>7394.8179570909761</v>
      </c>
      <c r="H869" s="20">
        <f t="shared" si="54"/>
        <v>300000</v>
      </c>
      <c r="I869" s="17">
        <f t="shared" si="55"/>
        <v>17637.256996368349</v>
      </c>
    </row>
    <row r="870" spans="1:9" x14ac:dyDescent="0.35">
      <c r="A870" s="11">
        <v>12853.755302591022</v>
      </c>
      <c r="B870" s="20">
        <f t="shared" si="52"/>
        <v>300000</v>
      </c>
      <c r="C870" s="17">
        <f t="shared" si="53"/>
        <v>399762.87118137151</v>
      </c>
      <c r="G870" s="11">
        <v>6100.5279702139351</v>
      </c>
      <c r="H870" s="20">
        <f t="shared" si="54"/>
        <v>300000</v>
      </c>
      <c r="I870" s="17">
        <f t="shared" si="55"/>
        <v>-72963.042085024528</v>
      </c>
    </row>
    <row r="871" spans="1:9" x14ac:dyDescent="0.35">
      <c r="A871" s="11">
        <v>12423.29172643208</v>
      </c>
      <c r="B871" s="20">
        <f t="shared" si="52"/>
        <v>300000</v>
      </c>
      <c r="C871" s="17">
        <f t="shared" si="53"/>
        <v>369630.42085024563</v>
      </c>
      <c r="G871" s="11">
        <v>7679.0978728598893</v>
      </c>
      <c r="H871" s="20">
        <f t="shared" si="54"/>
        <v>300000</v>
      </c>
      <c r="I871" s="17">
        <f t="shared" si="55"/>
        <v>37536.851100192289</v>
      </c>
    </row>
    <row r="872" spans="1:9" x14ac:dyDescent="0.35">
      <c r="A872" s="11">
        <v>16059.724723044526</v>
      </c>
      <c r="B872" s="20">
        <f t="shared" si="52"/>
        <v>300000</v>
      </c>
      <c r="C872" s="17">
        <f t="shared" si="53"/>
        <v>550000</v>
      </c>
      <c r="G872" s="11">
        <v>7519.4860683004235</v>
      </c>
      <c r="H872" s="20">
        <f t="shared" si="54"/>
        <v>300000</v>
      </c>
      <c r="I872" s="17">
        <f t="shared" si="55"/>
        <v>26364.024781029671</v>
      </c>
    </row>
    <row r="873" spans="1:9" x14ac:dyDescent="0.35">
      <c r="A873" s="11">
        <v>14978.606524857327</v>
      </c>
      <c r="B873" s="20">
        <f t="shared" si="52"/>
        <v>300000</v>
      </c>
      <c r="C873" s="17">
        <f t="shared" si="53"/>
        <v>548502.45674001286</v>
      </c>
      <c r="G873" s="11">
        <v>3779.2901394695882</v>
      </c>
      <c r="H873" s="20">
        <f t="shared" si="54"/>
        <v>188964.50697347941</v>
      </c>
      <c r="I873" s="17">
        <f t="shared" si="55"/>
        <v>-235449.69023712882</v>
      </c>
    </row>
    <row r="874" spans="1:9" x14ac:dyDescent="0.35">
      <c r="A874" s="11">
        <v>15649.861140781884</v>
      </c>
      <c r="B874" s="20">
        <f t="shared" si="52"/>
        <v>300000</v>
      </c>
      <c r="C874" s="17">
        <f t="shared" si="53"/>
        <v>550000</v>
      </c>
      <c r="G874" s="11">
        <v>6629.2611468855866</v>
      </c>
      <c r="H874" s="20">
        <f t="shared" si="54"/>
        <v>300000</v>
      </c>
      <c r="I874" s="17">
        <f t="shared" si="55"/>
        <v>-35951.719718008942</v>
      </c>
    </row>
    <row r="875" spans="1:9" x14ac:dyDescent="0.35">
      <c r="A875" s="11">
        <v>13116.672261726737</v>
      </c>
      <c r="B875" s="20">
        <f t="shared" si="52"/>
        <v>300000</v>
      </c>
      <c r="C875" s="17">
        <f t="shared" si="53"/>
        <v>418167.05832087155</v>
      </c>
      <c r="G875" s="11">
        <v>3774.5597705008086</v>
      </c>
      <c r="H875" s="20">
        <f t="shared" si="54"/>
        <v>188727.98852504042</v>
      </c>
      <c r="I875" s="17">
        <f t="shared" si="55"/>
        <v>-235780.81606494338</v>
      </c>
    </row>
    <row r="876" spans="1:9" x14ac:dyDescent="0.35">
      <c r="A876" s="11">
        <v>14479.476302377392</v>
      </c>
      <c r="B876" s="20">
        <f t="shared" si="52"/>
        <v>300000</v>
      </c>
      <c r="C876" s="17">
        <f t="shared" si="53"/>
        <v>513563.34116641746</v>
      </c>
      <c r="G876" s="11">
        <v>6002.7161473433644</v>
      </c>
      <c r="H876" s="20">
        <f t="shared" si="54"/>
        <v>300000</v>
      </c>
      <c r="I876" s="17">
        <f t="shared" si="55"/>
        <v>-79809.869685964484</v>
      </c>
    </row>
    <row r="877" spans="1:9" x14ac:dyDescent="0.35">
      <c r="A877" s="11">
        <v>14988.219855342264</v>
      </c>
      <c r="B877" s="20">
        <f t="shared" si="52"/>
        <v>300000</v>
      </c>
      <c r="C877" s="17">
        <f t="shared" si="53"/>
        <v>549175.38987395843</v>
      </c>
      <c r="G877" s="11">
        <v>3576.4946440015869</v>
      </c>
      <c r="H877" s="20">
        <f t="shared" si="54"/>
        <v>178824.73220007934</v>
      </c>
      <c r="I877" s="17">
        <f t="shared" si="55"/>
        <v>-249645.37491988891</v>
      </c>
    </row>
    <row r="878" spans="1:9" x14ac:dyDescent="0.35">
      <c r="A878" s="11">
        <v>14512.58888515885</v>
      </c>
      <c r="B878" s="20">
        <f t="shared" si="52"/>
        <v>300000</v>
      </c>
      <c r="C878" s="17">
        <f t="shared" si="53"/>
        <v>515881.22196111945</v>
      </c>
      <c r="G878" s="11">
        <v>4825.7698294015318</v>
      </c>
      <c r="H878" s="20">
        <f t="shared" si="54"/>
        <v>241288.49147007658</v>
      </c>
      <c r="I878" s="17">
        <f t="shared" si="55"/>
        <v>-162196.11194189277</v>
      </c>
    </row>
    <row r="879" spans="1:9" x14ac:dyDescent="0.35">
      <c r="A879" s="11">
        <v>15763.542588579974</v>
      </c>
      <c r="B879" s="20">
        <f t="shared" si="52"/>
        <v>300000</v>
      </c>
      <c r="C879" s="17">
        <f t="shared" si="53"/>
        <v>550000</v>
      </c>
      <c r="G879" s="11">
        <v>6429.212317270425</v>
      </c>
      <c r="H879" s="20">
        <f t="shared" si="54"/>
        <v>300000</v>
      </c>
      <c r="I879" s="17">
        <f t="shared" si="55"/>
        <v>-49955.137791070272</v>
      </c>
    </row>
    <row r="880" spans="1:9" x14ac:dyDescent="0.35">
      <c r="A880" s="11">
        <v>16109.77507858516</v>
      </c>
      <c r="B880" s="20">
        <f t="shared" si="52"/>
        <v>300000</v>
      </c>
      <c r="C880" s="17">
        <f t="shared" si="53"/>
        <v>550000</v>
      </c>
      <c r="G880" s="11">
        <v>6275.5516220587788</v>
      </c>
      <c r="H880" s="20">
        <f t="shared" si="54"/>
        <v>300000</v>
      </c>
      <c r="I880" s="17">
        <f t="shared" si="55"/>
        <v>-60711.386455885484</v>
      </c>
    </row>
    <row r="881" spans="1:9" x14ac:dyDescent="0.35">
      <c r="A881" s="11">
        <v>14558.519241920225</v>
      </c>
      <c r="B881" s="20">
        <f t="shared" si="52"/>
        <v>300000</v>
      </c>
      <c r="C881" s="17">
        <f t="shared" si="53"/>
        <v>519096.34693441575</v>
      </c>
      <c r="G881" s="11">
        <v>3136.2651448103275</v>
      </c>
      <c r="H881" s="20">
        <f t="shared" si="54"/>
        <v>156813.25724051637</v>
      </c>
      <c r="I881" s="17">
        <f t="shared" si="55"/>
        <v>-280461.43986327708</v>
      </c>
    </row>
    <row r="882" spans="1:9" x14ac:dyDescent="0.35">
      <c r="A882" s="11">
        <v>12895.718253120518</v>
      </c>
      <c r="B882" s="20">
        <f t="shared" si="52"/>
        <v>300000</v>
      </c>
      <c r="C882" s="17">
        <f t="shared" si="53"/>
        <v>402700.27771843621</v>
      </c>
      <c r="G882" s="11">
        <v>4748.7105929746394</v>
      </c>
      <c r="H882" s="20">
        <f t="shared" si="54"/>
        <v>237435.52964873199</v>
      </c>
      <c r="I882" s="17">
        <f t="shared" si="55"/>
        <v>-167590.25849177525</v>
      </c>
    </row>
    <row r="883" spans="1:9" x14ac:dyDescent="0.35">
      <c r="A883" s="11">
        <v>12895.260475478377</v>
      </c>
      <c r="B883" s="20">
        <f t="shared" si="52"/>
        <v>300000</v>
      </c>
      <c r="C883" s="17">
        <f t="shared" si="53"/>
        <v>402668.23328348633</v>
      </c>
      <c r="G883" s="11">
        <v>6644.5204016235848</v>
      </c>
      <c r="H883" s="20">
        <f t="shared" si="54"/>
        <v>300000</v>
      </c>
      <c r="I883" s="17">
        <f t="shared" si="55"/>
        <v>-34883.571886349062</v>
      </c>
    </row>
    <row r="884" spans="1:9" x14ac:dyDescent="0.35">
      <c r="A884" s="11">
        <v>12177.007354960784</v>
      </c>
      <c r="B884" s="20">
        <f t="shared" si="52"/>
        <v>300000</v>
      </c>
      <c r="C884" s="17">
        <f t="shared" si="53"/>
        <v>352390.51484725485</v>
      </c>
      <c r="G884" s="11">
        <v>3304.1169469283122</v>
      </c>
      <c r="H884" s="20">
        <f t="shared" si="54"/>
        <v>165205.84734641563</v>
      </c>
      <c r="I884" s="17">
        <f t="shared" si="55"/>
        <v>-268711.81371501816</v>
      </c>
    </row>
    <row r="885" spans="1:9" x14ac:dyDescent="0.35">
      <c r="A885" s="11">
        <v>16048.280281991028</v>
      </c>
      <c r="B885" s="20">
        <f t="shared" si="52"/>
        <v>300000</v>
      </c>
      <c r="C885" s="17">
        <f t="shared" si="53"/>
        <v>550000</v>
      </c>
      <c r="G885" s="11">
        <v>6145.5427716910308</v>
      </c>
      <c r="H885" s="20">
        <f t="shared" si="54"/>
        <v>300000</v>
      </c>
      <c r="I885" s="17">
        <f t="shared" si="55"/>
        <v>-69812.005981627852</v>
      </c>
    </row>
    <row r="886" spans="1:9" x14ac:dyDescent="0.35">
      <c r="A886" s="11">
        <v>13111.331522568438</v>
      </c>
      <c r="B886" s="20">
        <f t="shared" si="52"/>
        <v>300000</v>
      </c>
      <c r="C886" s="17">
        <f t="shared" si="53"/>
        <v>417793.20657979068</v>
      </c>
      <c r="G886" s="11">
        <v>7078.3410138248855</v>
      </c>
      <c r="H886" s="20">
        <f t="shared" si="54"/>
        <v>300000</v>
      </c>
      <c r="I886" s="17">
        <f t="shared" si="55"/>
        <v>-4516.1290322580026</v>
      </c>
    </row>
    <row r="887" spans="1:9" x14ac:dyDescent="0.35">
      <c r="A887" s="11">
        <v>16914.395580919827</v>
      </c>
      <c r="B887" s="20">
        <f t="shared" si="52"/>
        <v>300000</v>
      </c>
      <c r="C887" s="17">
        <f t="shared" si="53"/>
        <v>550000</v>
      </c>
      <c r="G887" s="11">
        <v>4657.4602496414082</v>
      </c>
      <c r="H887" s="20">
        <f t="shared" si="54"/>
        <v>232873.01248207042</v>
      </c>
      <c r="I887" s="17">
        <f t="shared" si="55"/>
        <v>-173977.78252510144</v>
      </c>
    </row>
    <row r="888" spans="1:9" x14ac:dyDescent="0.35">
      <c r="A888" s="11">
        <v>14959.837641529588</v>
      </c>
      <c r="B888" s="20">
        <f t="shared" si="52"/>
        <v>300000</v>
      </c>
      <c r="C888" s="17">
        <f t="shared" si="53"/>
        <v>547188.63490707113</v>
      </c>
      <c r="G888" s="11">
        <v>7044.4654683065273</v>
      </c>
      <c r="H888" s="20">
        <f t="shared" si="54"/>
        <v>300000</v>
      </c>
      <c r="I888" s="17">
        <f t="shared" si="55"/>
        <v>-6887.4172185430652</v>
      </c>
    </row>
    <row r="889" spans="1:9" x14ac:dyDescent="0.35">
      <c r="A889" s="11">
        <v>16667.19565416425</v>
      </c>
      <c r="B889" s="20">
        <f t="shared" si="52"/>
        <v>300000</v>
      </c>
      <c r="C889" s="17">
        <f t="shared" si="53"/>
        <v>550000</v>
      </c>
      <c r="G889" s="11">
        <v>3237.7391888180182</v>
      </c>
      <c r="H889" s="20">
        <f t="shared" si="54"/>
        <v>161886.95944090092</v>
      </c>
      <c r="I889" s="17">
        <f t="shared" si="55"/>
        <v>-273358.25678273872</v>
      </c>
    </row>
    <row r="890" spans="1:9" x14ac:dyDescent="0.35">
      <c r="A890" s="11">
        <v>13894.131290627765</v>
      </c>
      <c r="B890" s="20">
        <f t="shared" si="52"/>
        <v>300000</v>
      </c>
      <c r="C890" s="17">
        <f t="shared" si="53"/>
        <v>472589.19034394354</v>
      </c>
      <c r="G890" s="11">
        <v>5911.6183965575119</v>
      </c>
      <c r="H890" s="20">
        <f t="shared" si="54"/>
        <v>295580.91982787562</v>
      </c>
      <c r="I890" s="17">
        <f t="shared" si="55"/>
        <v>-86186.712240974186</v>
      </c>
    </row>
    <row r="891" spans="1:9" x14ac:dyDescent="0.35">
      <c r="A891" s="11">
        <v>13025.879696035645</v>
      </c>
      <c r="B891" s="20">
        <f t="shared" si="52"/>
        <v>300000</v>
      </c>
      <c r="C891" s="17">
        <f t="shared" si="53"/>
        <v>411811.57872249512</v>
      </c>
      <c r="G891" s="11">
        <v>7680.4712057863098</v>
      </c>
      <c r="H891" s="20">
        <f t="shared" si="54"/>
        <v>300000</v>
      </c>
      <c r="I891" s="17">
        <f t="shared" si="55"/>
        <v>37632.984405041672</v>
      </c>
    </row>
    <row r="892" spans="1:9" x14ac:dyDescent="0.35">
      <c r="A892" s="11">
        <v>12115.66515091403</v>
      </c>
      <c r="B892" s="20">
        <f t="shared" si="52"/>
        <v>300000</v>
      </c>
      <c r="C892" s="17">
        <f t="shared" si="53"/>
        <v>348096.56056398212</v>
      </c>
      <c r="G892" s="11">
        <v>4846.06463820307</v>
      </c>
      <c r="H892" s="20">
        <f t="shared" si="54"/>
        <v>242303.2319101535</v>
      </c>
      <c r="I892" s="17">
        <f t="shared" si="55"/>
        <v>-160775.47532578511</v>
      </c>
    </row>
    <row r="893" spans="1:9" x14ac:dyDescent="0.35">
      <c r="A893" s="11">
        <v>16120.914334543901</v>
      </c>
      <c r="B893" s="20">
        <f t="shared" si="52"/>
        <v>300000</v>
      </c>
      <c r="C893" s="17">
        <f t="shared" si="53"/>
        <v>550000</v>
      </c>
      <c r="G893" s="11">
        <v>7902.6459547715685</v>
      </c>
      <c r="H893" s="20">
        <f t="shared" si="54"/>
        <v>300000</v>
      </c>
      <c r="I893" s="17">
        <f t="shared" si="55"/>
        <v>53185.216834009741</v>
      </c>
    </row>
    <row r="894" spans="1:9" x14ac:dyDescent="0.35">
      <c r="A894" s="11">
        <v>15591.570787682729</v>
      </c>
      <c r="B894" s="20">
        <f t="shared" si="52"/>
        <v>300000</v>
      </c>
      <c r="C894" s="17">
        <f t="shared" si="53"/>
        <v>550000</v>
      </c>
      <c r="G894" s="11">
        <v>6661.9159520249032</v>
      </c>
      <c r="H894" s="20">
        <f t="shared" si="54"/>
        <v>300000</v>
      </c>
      <c r="I894" s="17">
        <f t="shared" si="55"/>
        <v>-33665.883358256775</v>
      </c>
    </row>
    <row r="895" spans="1:9" x14ac:dyDescent="0.35">
      <c r="A895" s="11">
        <v>14290.719321268349</v>
      </c>
      <c r="B895" s="20">
        <f t="shared" si="52"/>
        <v>300000</v>
      </c>
      <c r="C895" s="17">
        <f t="shared" si="53"/>
        <v>500350.35248878435</v>
      </c>
      <c r="G895" s="11">
        <v>4330.1492355113378</v>
      </c>
      <c r="H895" s="20">
        <f t="shared" si="54"/>
        <v>216507.46177556689</v>
      </c>
      <c r="I895" s="17">
        <f t="shared" si="55"/>
        <v>-196889.55351420637</v>
      </c>
    </row>
    <row r="896" spans="1:9" x14ac:dyDescent="0.35">
      <c r="A896" s="11">
        <v>14650.227362895595</v>
      </c>
      <c r="B896" s="20">
        <f t="shared" si="52"/>
        <v>300000</v>
      </c>
      <c r="C896" s="17">
        <f t="shared" si="53"/>
        <v>525515.91540269169</v>
      </c>
      <c r="G896" s="11">
        <v>3790.8871730704673</v>
      </c>
      <c r="H896" s="20">
        <f t="shared" si="54"/>
        <v>189544.35865352338</v>
      </c>
      <c r="I896" s="17">
        <f t="shared" si="55"/>
        <v>-234637.89788506727</v>
      </c>
    </row>
    <row r="897" spans="1:9" x14ac:dyDescent="0.35">
      <c r="A897" s="11">
        <v>13328.470717490158</v>
      </c>
      <c r="B897" s="20">
        <f t="shared" si="52"/>
        <v>300000</v>
      </c>
      <c r="C897" s="17">
        <f t="shared" si="53"/>
        <v>432992.95022431109</v>
      </c>
      <c r="G897" s="11">
        <v>7598.9867854853965</v>
      </c>
      <c r="H897" s="20">
        <f t="shared" si="54"/>
        <v>300000</v>
      </c>
      <c r="I897" s="17">
        <f t="shared" si="55"/>
        <v>31929.074983977713</v>
      </c>
    </row>
    <row r="898" spans="1:9" x14ac:dyDescent="0.35">
      <c r="A898" s="11">
        <v>13138.798181096836</v>
      </c>
      <c r="B898" s="20">
        <f t="shared" si="52"/>
        <v>300000</v>
      </c>
      <c r="C898" s="17">
        <f t="shared" si="53"/>
        <v>419715.87267677847</v>
      </c>
      <c r="G898" s="11">
        <v>3341.0443433942687</v>
      </c>
      <c r="H898" s="20">
        <f t="shared" si="54"/>
        <v>167052.21716971343</v>
      </c>
      <c r="I898" s="17">
        <f t="shared" si="55"/>
        <v>-266126.89596240118</v>
      </c>
    </row>
    <row r="899" spans="1:9" x14ac:dyDescent="0.35">
      <c r="A899" s="11">
        <v>13327.249977111118</v>
      </c>
      <c r="B899" s="20">
        <f t="shared" si="52"/>
        <v>300000</v>
      </c>
      <c r="C899" s="17">
        <f t="shared" si="53"/>
        <v>432907.49839777825</v>
      </c>
      <c r="G899" s="11">
        <v>5903.0732139042329</v>
      </c>
      <c r="H899" s="20">
        <f t="shared" si="54"/>
        <v>295153.66069521167</v>
      </c>
      <c r="I899" s="17">
        <f t="shared" si="55"/>
        <v>-86784.875026703696</v>
      </c>
    </row>
    <row r="900" spans="1:9" x14ac:dyDescent="0.35">
      <c r="A900" s="11">
        <v>14935.575426496169</v>
      </c>
      <c r="B900" s="20">
        <f t="shared" si="52"/>
        <v>300000</v>
      </c>
      <c r="C900" s="17">
        <f t="shared" si="53"/>
        <v>545490.27985473187</v>
      </c>
      <c r="G900" s="11">
        <v>7491.8668172246471</v>
      </c>
      <c r="H900" s="20">
        <f t="shared" si="54"/>
        <v>300000</v>
      </c>
      <c r="I900" s="17">
        <f t="shared" si="55"/>
        <v>24430.67720572534</v>
      </c>
    </row>
    <row r="901" spans="1:9" x14ac:dyDescent="0.35">
      <c r="A901" s="11">
        <v>12992.156743064668</v>
      </c>
      <c r="B901" s="20">
        <f t="shared" si="52"/>
        <v>300000</v>
      </c>
      <c r="C901" s="17">
        <f t="shared" si="53"/>
        <v>409450.97201452684</v>
      </c>
      <c r="G901" s="11">
        <v>6480.7885982848602</v>
      </c>
      <c r="H901" s="20">
        <f t="shared" si="54"/>
        <v>300000</v>
      </c>
      <c r="I901" s="17">
        <f t="shared" si="55"/>
        <v>-46344.798120059771</v>
      </c>
    </row>
    <row r="902" spans="1:9" x14ac:dyDescent="0.35">
      <c r="A902" s="11">
        <v>14473.067415387432</v>
      </c>
      <c r="B902" s="20">
        <f t="shared" si="52"/>
        <v>300000</v>
      </c>
      <c r="C902" s="17">
        <f t="shared" si="53"/>
        <v>513114.71907712019</v>
      </c>
      <c r="G902" s="11">
        <v>6009.5828119754624</v>
      </c>
      <c r="H902" s="20">
        <f t="shared" si="54"/>
        <v>300000</v>
      </c>
      <c r="I902" s="17">
        <f t="shared" si="55"/>
        <v>-79329.203161717625</v>
      </c>
    </row>
    <row r="903" spans="1:9" x14ac:dyDescent="0.35">
      <c r="A903" s="11">
        <v>12695.211645863215</v>
      </c>
      <c r="B903" s="20">
        <f t="shared" si="52"/>
        <v>300000</v>
      </c>
      <c r="C903" s="17">
        <f t="shared" si="53"/>
        <v>388664.81521042506</v>
      </c>
      <c r="G903" s="11">
        <v>7152.6535843989386</v>
      </c>
      <c r="H903" s="20">
        <f t="shared" si="54"/>
        <v>300000</v>
      </c>
      <c r="I903" s="17">
        <f t="shared" si="55"/>
        <v>685.75090792571427</v>
      </c>
    </row>
    <row r="904" spans="1:9" x14ac:dyDescent="0.35">
      <c r="A904" s="11">
        <v>13683.706167790766</v>
      </c>
      <c r="B904" s="20">
        <f t="shared" si="52"/>
        <v>300000</v>
      </c>
      <c r="C904" s="17">
        <f t="shared" si="53"/>
        <v>457859.43174535362</v>
      </c>
      <c r="G904" s="11">
        <v>4387.0662556840725</v>
      </c>
      <c r="H904" s="20">
        <f t="shared" si="54"/>
        <v>219353.31278420362</v>
      </c>
      <c r="I904" s="17">
        <f t="shared" si="55"/>
        <v>-192905.36210211494</v>
      </c>
    </row>
    <row r="905" spans="1:9" x14ac:dyDescent="0.35">
      <c r="A905" s="11">
        <v>15302.865688039796</v>
      </c>
      <c r="B905" s="20">
        <f t="shared" si="52"/>
        <v>300000</v>
      </c>
      <c r="C905" s="17">
        <f t="shared" si="53"/>
        <v>550000</v>
      </c>
      <c r="G905" s="11">
        <v>3639.6679586169012</v>
      </c>
      <c r="H905" s="20">
        <f t="shared" si="54"/>
        <v>181983.39793084507</v>
      </c>
      <c r="I905" s="17">
        <f t="shared" si="55"/>
        <v>-245223.24289681693</v>
      </c>
    </row>
    <row r="906" spans="1:9" x14ac:dyDescent="0.35">
      <c r="A906" s="11">
        <v>14541.123691518906</v>
      </c>
      <c r="B906" s="20">
        <f t="shared" si="52"/>
        <v>300000</v>
      </c>
      <c r="C906" s="17">
        <f t="shared" si="53"/>
        <v>517878.6584063234</v>
      </c>
      <c r="G906" s="11">
        <v>6672.5974303415023</v>
      </c>
      <c r="H906" s="20">
        <f t="shared" si="54"/>
        <v>300000</v>
      </c>
      <c r="I906" s="17">
        <f t="shared" si="55"/>
        <v>-32918.179876094859</v>
      </c>
    </row>
    <row r="907" spans="1:9" x14ac:dyDescent="0.35">
      <c r="A907" s="11">
        <v>13492.507705923643</v>
      </c>
      <c r="B907" s="20">
        <f t="shared" si="52"/>
        <v>300000</v>
      </c>
      <c r="C907" s="17">
        <f t="shared" si="53"/>
        <v>444475.53941465495</v>
      </c>
      <c r="G907" s="11">
        <v>6723.2581560716571</v>
      </c>
      <c r="H907" s="20">
        <f t="shared" si="54"/>
        <v>300000</v>
      </c>
      <c r="I907" s="17">
        <f t="shared" si="55"/>
        <v>-29371.929074983986</v>
      </c>
    </row>
    <row r="908" spans="1:9" x14ac:dyDescent="0.35">
      <c r="A908" s="11">
        <v>12281.075472273935</v>
      </c>
      <c r="B908" s="20">
        <f t="shared" si="52"/>
        <v>300000</v>
      </c>
      <c r="C908" s="17">
        <f t="shared" si="53"/>
        <v>359675.28305917548</v>
      </c>
      <c r="G908" s="11">
        <v>7060.1825006866666</v>
      </c>
      <c r="H908" s="20">
        <f t="shared" si="54"/>
        <v>300000</v>
      </c>
      <c r="I908" s="17">
        <f t="shared" si="55"/>
        <v>-5787.2249519333127</v>
      </c>
    </row>
    <row r="909" spans="1:9" x14ac:dyDescent="0.35">
      <c r="A909" s="11">
        <v>14561.113315225684</v>
      </c>
      <c r="B909" s="20">
        <f t="shared" si="52"/>
        <v>300000</v>
      </c>
      <c r="C909" s="17">
        <f t="shared" si="53"/>
        <v>519277.93206579785</v>
      </c>
      <c r="G909" s="11">
        <v>3271.3095492416151</v>
      </c>
      <c r="H909" s="20">
        <f t="shared" si="54"/>
        <v>163565.47746208074</v>
      </c>
      <c r="I909" s="17">
        <f t="shared" si="55"/>
        <v>-271008.33155308699</v>
      </c>
    </row>
    <row r="910" spans="1:9" x14ac:dyDescent="0.35">
      <c r="A910" s="11">
        <v>12562.608722190009</v>
      </c>
      <c r="B910" s="20">
        <f t="shared" si="52"/>
        <v>300000</v>
      </c>
      <c r="C910" s="17">
        <f t="shared" si="53"/>
        <v>379382.61055330059</v>
      </c>
      <c r="G910" s="11">
        <v>4405.3773613696703</v>
      </c>
      <c r="H910" s="20">
        <f t="shared" si="54"/>
        <v>220268.86806848351</v>
      </c>
      <c r="I910" s="17">
        <f t="shared" si="55"/>
        <v>-191623.58470412309</v>
      </c>
    </row>
    <row r="911" spans="1:9" x14ac:dyDescent="0.35">
      <c r="A911" s="11">
        <v>14196.264534440139</v>
      </c>
      <c r="B911" s="20">
        <f t="shared" si="52"/>
        <v>300000</v>
      </c>
      <c r="C911" s="17">
        <f t="shared" si="53"/>
        <v>493738.51741080976</v>
      </c>
      <c r="G911" s="11">
        <v>4901.6083254493851</v>
      </c>
      <c r="H911" s="20">
        <f t="shared" si="54"/>
        <v>245080.41627246924</v>
      </c>
      <c r="I911" s="17">
        <f t="shared" si="55"/>
        <v>-156887.41721854307</v>
      </c>
    </row>
    <row r="912" spans="1:9" x14ac:dyDescent="0.35">
      <c r="A912" s="11">
        <v>14390.209662160101</v>
      </c>
      <c r="B912" s="20">
        <f t="shared" si="52"/>
        <v>300000</v>
      </c>
      <c r="C912" s="17">
        <f t="shared" si="53"/>
        <v>507314.67635120708</v>
      </c>
      <c r="G912" s="11">
        <v>4615.3447065645314</v>
      </c>
      <c r="H912" s="20">
        <f t="shared" si="54"/>
        <v>230767.23532822658</v>
      </c>
      <c r="I912" s="17">
        <f t="shared" si="55"/>
        <v>-176925.87054048281</v>
      </c>
    </row>
    <row r="913" spans="1:9" x14ac:dyDescent="0.35">
      <c r="A913" s="11">
        <v>14996.307260353404</v>
      </c>
      <c r="B913" s="20">
        <f t="shared" si="52"/>
        <v>300000</v>
      </c>
      <c r="C913" s="17">
        <f t="shared" si="53"/>
        <v>549741.5082247383</v>
      </c>
      <c r="G913" s="11">
        <v>5672.5058748130741</v>
      </c>
      <c r="H913" s="20">
        <f t="shared" si="54"/>
        <v>283625.29374065372</v>
      </c>
      <c r="I913" s="17">
        <f t="shared" si="55"/>
        <v>-102924.58876308479</v>
      </c>
    </row>
    <row r="914" spans="1:9" x14ac:dyDescent="0.35">
      <c r="A914" s="11">
        <v>12698.416089358196</v>
      </c>
      <c r="B914" s="20">
        <f t="shared" si="52"/>
        <v>300000</v>
      </c>
      <c r="C914" s="17">
        <f t="shared" si="53"/>
        <v>388889.1262550737</v>
      </c>
      <c r="G914" s="11">
        <v>7988.2503738517407</v>
      </c>
      <c r="H914" s="20">
        <f t="shared" si="54"/>
        <v>300000</v>
      </c>
      <c r="I914" s="17">
        <f t="shared" si="55"/>
        <v>59177.526169621851</v>
      </c>
    </row>
    <row r="915" spans="1:9" x14ac:dyDescent="0.35">
      <c r="A915" s="11">
        <v>14279.274880214851</v>
      </c>
      <c r="B915" s="20">
        <f t="shared" si="52"/>
        <v>300000</v>
      </c>
      <c r="C915" s="17">
        <f t="shared" si="53"/>
        <v>499549.24161503953</v>
      </c>
      <c r="G915" s="11">
        <v>3835.7493820001832</v>
      </c>
      <c r="H915" s="20">
        <f t="shared" si="54"/>
        <v>191787.46910000916</v>
      </c>
      <c r="I915" s="17">
        <f t="shared" si="55"/>
        <v>-231497.5432599872</v>
      </c>
    </row>
    <row r="916" spans="1:9" x14ac:dyDescent="0.35">
      <c r="A916" s="11">
        <v>13226.233710745568</v>
      </c>
      <c r="B916" s="20">
        <f t="shared" si="52"/>
        <v>300000</v>
      </c>
      <c r="C916" s="17">
        <f t="shared" si="53"/>
        <v>425836.35975218972</v>
      </c>
      <c r="G916" s="11">
        <v>7642.1704763939333</v>
      </c>
      <c r="H916" s="20">
        <f t="shared" si="54"/>
        <v>300000</v>
      </c>
      <c r="I916" s="17">
        <f t="shared" si="55"/>
        <v>34951.933347575366</v>
      </c>
    </row>
    <row r="917" spans="1:9" x14ac:dyDescent="0.35">
      <c r="A917" s="11">
        <v>14562.639240699484</v>
      </c>
      <c r="B917" s="20">
        <f t="shared" si="52"/>
        <v>300000</v>
      </c>
      <c r="C917" s="17">
        <f t="shared" si="53"/>
        <v>519384.7468489639</v>
      </c>
      <c r="G917" s="11">
        <v>5473.6777855769524</v>
      </c>
      <c r="H917" s="20">
        <f t="shared" si="54"/>
        <v>273683.88927884761</v>
      </c>
      <c r="I917" s="17">
        <f t="shared" si="55"/>
        <v>-116842.55500961334</v>
      </c>
    </row>
    <row r="918" spans="1:9" x14ac:dyDescent="0.35">
      <c r="A918" s="11">
        <v>15785.210730307932</v>
      </c>
      <c r="B918" s="20">
        <f t="shared" si="52"/>
        <v>300000</v>
      </c>
      <c r="C918" s="17">
        <f t="shared" si="53"/>
        <v>550000</v>
      </c>
      <c r="G918" s="11">
        <v>6832.0566423535874</v>
      </c>
      <c r="H918" s="20">
        <f t="shared" si="54"/>
        <v>300000</v>
      </c>
      <c r="I918" s="17">
        <f t="shared" si="55"/>
        <v>-21756.035035248904</v>
      </c>
    </row>
    <row r="919" spans="1:9" x14ac:dyDescent="0.35">
      <c r="A919" s="11">
        <v>14632.679219946898</v>
      </c>
      <c r="B919" s="20">
        <f t="shared" si="52"/>
        <v>300000</v>
      </c>
      <c r="C919" s="17">
        <f t="shared" si="53"/>
        <v>524287.54539628292</v>
      </c>
      <c r="G919" s="11">
        <v>7882.9615161595511</v>
      </c>
      <c r="H919" s="20">
        <f t="shared" si="54"/>
        <v>300000</v>
      </c>
      <c r="I919" s="17">
        <f t="shared" si="55"/>
        <v>51807.306131168618</v>
      </c>
    </row>
    <row r="920" spans="1:9" x14ac:dyDescent="0.35">
      <c r="A920" s="11">
        <v>13413.159581286051</v>
      </c>
      <c r="B920" s="20">
        <f t="shared" si="52"/>
        <v>300000</v>
      </c>
      <c r="C920" s="17">
        <f t="shared" si="53"/>
        <v>438921.17069002357</v>
      </c>
      <c r="G920" s="11">
        <v>7798.1200598162786</v>
      </c>
      <c r="H920" s="20">
        <f t="shared" si="54"/>
        <v>300000</v>
      </c>
      <c r="I920" s="17">
        <f t="shared" si="55"/>
        <v>45868.404187139473</v>
      </c>
    </row>
    <row r="921" spans="1:9" x14ac:dyDescent="0.35">
      <c r="A921" s="11">
        <v>14996.612445448165</v>
      </c>
      <c r="B921" s="20">
        <f t="shared" si="52"/>
        <v>300000</v>
      </c>
      <c r="C921" s="17">
        <f t="shared" si="53"/>
        <v>549762.87118137162</v>
      </c>
      <c r="G921" s="11">
        <v>6015.5339213232819</v>
      </c>
      <c r="H921" s="20">
        <f t="shared" si="54"/>
        <v>300000</v>
      </c>
      <c r="I921" s="17">
        <f t="shared" si="55"/>
        <v>-78912.625507370278</v>
      </c>
    </row>
    <row r="922" spans="1:9" x14ac:dyDescent="0.35">
      <c r="A922" s="11">
        <v>12289.620654927214</v>
      </c>
      <c r="B922" s="20">
        <f t="shared" si="52"/>
        <v>300000</v>
      </c>
      <c r="C922" s="17">
        <f t="shared" si="53"/>
        <v>360273.44584490499</v>
      </c>
      <c r="G922" s="11">
        <v>3477.0043031098362</v>
      </c>
      <c r="H922" s="20">
        <f t="shared" si="54"/>
        <v>173850.21515549181</v>
      </c>
      <c r="I922" s="17">
        <f t="shared" si="55"/>
        <v>-256609.69878231146</v>
      </c>
    </row>
    <row r="923" spans="1:9" x14ac:dyDescent="0.35">
      <c r="A923" s="11">
        <v>14327.036347544785</v>
      </c>
      <c r="B923" s="20">
        <f t="shared" si="52"/>
        <v>300000</v>
      </c>
      <c r="C923" s="17">
        <f t="shared" si="53"/>
        <v>502892.54432813497</v>
      </c>
      <c r="G923" s="11">
        <v>4239.5092623676264</v>
      </c>
      <c r="H923" s="20">
        <f t="shared" si="54"/>
        <v>211975.46311838133</v>
      </c>
      <c r="I923" s="17">
        <f t="shared" si="55"/>
        <v>-203234.35163426615</v>
      </c>
    </row>
    <row r="924" spans="1:9" x14ac:dyDescent="0.35">
      <c r="A924" s="11">
        <v>13825.922421948912</v>
      </c>
      <c r="B924" s="20">
        <f t="shared" si="52"/>
        <v>300000</v>
      </c>
      <c r="C924" s="17">
        <f t="shared" si="53"/>
        <v>467814.56953642378</v>
      </c>
      <c r="G924" s="11">
        <v>6542.2833948789939</v>
      </c>
      <c r="H924" s="20">
        <f t="shared" si="54"/>
        <v>300000</v>
      </c>
      <c r="I924" s="17">
        <f t="shared" si="55"/>
        <v>-42040.162358470436</v>
      </c>
    </row>
    <row r="925" spans="1:9" x14ac:dyDescent="0.35">
      <c r="A925" s="11">
        <v>13914.426099429304</v>
      </c>
      <c r="B925" s="20">
        <f t="shared" si="52"/>
        <v>300000</v>
      </c>
      <c r="C925" s="17">
        <f t="shared" si="53"/>
        <v>474009.8269600512</v>
      </c>
      <c r="G925" s="11">
        <v>6272.3471785637994</v>
      </c>
      <c r="H925" s="20">
        <f t="shared" si="54"/>
        <v>300000</v>
      </c>
      <c r="I925" s="17">
        <f t="shared" si="55"/>
        <v>-60935.697500534065</v>
      </c>
    </row>
    <row r="926" spans="1:9" x14ac:dyDescent="0.35">
      <c r="A926" s="11">
        <v>14140.873439741203</v>
      </c>
      <c r="B926" s="20">
        <f t="shared" si="52"/>
        <v>300000</v>
      </c>
      <c r="C926" s="17">
        <f t="shared" si="53"/>
        <v>489861.1407818842</v>
      </c>
      <c r="G926" s="11">
        <v>3444.0443128757593</v>
      </c>
      <c r="H926" s="20">
        <f t="shared" si="54"/>
        <v>172202.21564378796</v>
      </c>
      <c r="I926" s="17">
        <f t="shared" si="55"/>
        <v>-258916.89809869684</v>
      </c>
    </row>
    <row r="927" spans="1:9" x14ac:dyDescent="0.35">
      <c r="A927" s="11">
        <v>15742.332224494156</v>
      </c>
      <c r="B927" s="20">
        <f t="shared" si="52"/>
        <v>300000</v>
      </c>
      <c r="C927" s="17">
        <f t="shared" si="53"/>
        <v>550000</v>
      </c>
      <c r="G927" s="11">
        <v>6511.9174779503774</v>
      </c>
      <c r="H927" s="20">
        <f t="shared" si="54"/>
        <v>300000</v>
      </c>
      <c r="I927" s="17">
        <f t="shared" si="55"/>
        <v>-44165.776543473592</v>
      </c>
    </row>
    <row r="928" spans="1:9" x14ac:dyDescent="0.35">
      <c r="A928" s="11">
        <v>15324.991607409895</v>
      </c>
      <c r="B928" s="20">
        <f t="shared" si="52"/>
        <v>300000</v>
      </c>
      <c r="C928" s="17">
        <f t="shared" si="53"/>
        <v>550000</v>
      </c>
      <c r="G928" s="11">
        <v>5050.8438367870112</v>
      </c>
      <c r="H928" s="20">
        <f t="shared" si="54"/>
        <v>252542.19183935056</v>
      </c>
      <c r="I928" s="17">
        <f t="shared" si="55"/>
        <v>-146440.93142490921</v>
      </c>
    </row>
    <row r="929" spans="1:9" x14ac:dyDescent="0.35">
      <c r="A929" s="11">
        <v>12232.551042207098</v>
      </c>
      <c r="B929" s="20">
        <f t="shared" si="52"/>
        <v>300000</v>
      </c>
      <c r="C929" s="17">
        <f t="shared" si="53"/>
        <v>356278.57295449683</v>
      </c>
      <c r="G929" s="11">
        <v>4231.8796349986269</v>
      </c>
      <c r="H929" s="20">
        <f t="shared" si="54"/>
        <v>211593.98174993135</v>
      </c>
      <c r="I929" s="17">
        <f t="shared" si="55"/>
        <v>-203768.42555009614</v>
      </c>
    </row>
    <row r="930" spans="1:9" x14ac:dyDescent="0.35">
      <c r="A930" s="11">
        <v>15594.47004608295</v>
      </c>
      <c r="B930" s="20">
        <f t="shared" ref="B930:B993" si="56">50*MIN(6000,A930)</f>
        <v>300000</v>
      </c>
      <c r="C930" s="17">
        <f t="shared" ref="C930:C993" si="57">70*MIN(15000,A930)-500000</f>
        <v>550000</v>
      </c>
      <c r="G930" s="11">
        <v>5720.877712332529</v>
      </c>
      <c r="H930" s="20">
        <f t="shared" ref="H930:H993" si="58">50*MIN(6000,G930)</f>
        <v>286043.88561662647</v>
      </c>
      <c r="I930" s="17">
        <f t="shared" ref="I930:I993" si="59">70*MIN(15000,G930)-500000</f>
        <v>-99538.560136722983</v>
      </c>
    </row>
    <row r="931" spans="1:9" x14ac:dyDescent="0.35">
      <c r="A931" s="11">
        <v>12597.857600634785</v>
      </c>
      <c r="B931" s="20">
        <f t="shared" si="56"/>
        <v>300000</v>
      </c>
      <c r="C931" s="17">
        <f t="shared" si="57"/>
        <v>381850.03204443492</v>
      </c>
      <c r="G931" s="11">
        <v>6381.4508499404892</v>
      </c>
      <c r="H931" s="20">
        <f t="shared" si="58"/>
        <v>300000</v>
      </c>
      <c r="I931" s="17">
        <f t="shared" si="59"/>
        <v>-53298.440504165774</v>
      </c>
    </row>
    <row r="932" spans="1:9" x14ac:dyDescent="0.35">
      <c r="A932" s="11">
        <v>14790.917691579943</v>
      </c>
      <c r="B932" s="20">
        <f t="shared" si="56"/>
        <v>300000</v>
      </c>
      <c r="C932" s="17">
        <f t="shared" si="57"/>
        <v>535364.23841059604</v>
      </c>
      <c r="G932" s="11">
        <v>4844.6913052766504</v>
      </c>
      <c r="H932" s="20">
        <f t="shared" si="58"/>
        <v>242234.56526383251</v>
      </c>
      <c r="I932" s="17">
        <f t="shared" si="59"/>
        <v>-160871.6086306345</v>
      </c>
    </row>
    <row r="933" spans="1:9" x14ac:dyDescent="0.35">
      <c r="A933" s="11">
        <v>12690.481276894436</v>
      </c>
      <c r="B933" s="20">
        <f t="shared" si="56"/>
        <v>300000</v>
      </c>
      <c r="C933" s="17">
        <f t="shared" si="57"/>
        <v>388333.68938261049</v>
      </c>
      <c r="G933" s="11">
        <v>3136.4177373577077</v>
      </c>
      <c r="H933" s="20">
        <f t="shared" si="58"/>
        <v>156820.88686788539</v>
      </c>
      <c r="I933" s="17">
        <f t="shared" si="59"/>
        <v>-280450.75838496047</v>
      </c>
    </row>
    <row r="934" spans="1:9" x14ac:dyDescent="0.35">
      <c r="A934" s="11">
        <v>15787.194433423872</v>
      </c>
      <c r="B934" s="20">
        <f t="shared" si="56"/>
        <v>300000</v>
      </c>
      <c r="C934" s="17">
        <f t="shared" si="57"/>
        <v>550000</v>
      </c>
      <c r="G934" s="11">
        <v>4664.937284463027</v>
      </c>
      <c r="H934" s="20">
        <f t="shared" si="58"/>
        <v>233246.86422315135</v>
      </c>
      <c r="I934" s="17">
        <f t="shared" si="59"/>
        <v>-173454.39008758811</v>
      </c>
    </row>
    <row r="935" spans="1:9" x14ac:dyDescent="0.35">
      <c r="A935" s="11">
        <v>12915.402691732535</v>
      </c>
      <c r="B935" s="20">
        <f t="shared" si="56"/>
        <v>300000</v>
      </c>
      <c r="C935" s="17">
        <f t="shared" si="57"/>
        <v>404078.18842127745</v>
      </c>
      <c r="G935" s="11">
        <v>6022.247993408002</v>
      </c>
      <c r="H935" s="20">
        <f t="shared" si="58"/>
        <v>300000</v>
      </c>
      <c r="I935" s="17">
        <f t="shared" si="59"/>
        <v>-78442.640461439849</v>
      </c>
    </row>
    <row r="936" spans="1:9" x14ac:dyDescent="0.35">
      <c r="A936" s="11">
        <v>14363.200781273843</v>
      </c>
      <c r="B936" s="20">
        <f t="shared" si="56"/>
        <v>300000</v>
      </c>
      <c r="C936" s="17">
        <f t="shared" si="57"/>
        <v>505424.05468916905</v>
      </c>
      <c r="G936" s="11">
        <v>6162.0227668080697</v>
      </c>
      <c r="H936" s="20">
        <f t="shared" si="58"/>
        <v>300000</v>
      </c>
      <c r="I936" s="17">
        <f t="shared" si="59"/>
        <v>-68658.406323435134</v>
      </c>
    </row>
    <row r="937" spans="1:9" x14ac:dyDescent="0.35">
      <c r="A937" s="11">
        <v>12759.75829340495</v>
      </c>
      <c r="B937" s="20">
        <f t="shared" si="56"/>
        <v>300000</v>
      </c>
      <c r="C937" s="17">
        <f t="shared" si="57"/>
        <v>393183.08053834643</v>
      </c>
      <c r="G937" s="11">
        <v>4491.4395580919827</v>
      </c>
      <c r="H937" s="20">
        <f t="shared" si="58"/>
        <v>224571.97790459913</v>
      </c>
      <c r="I937" s="17">
        <f t="shared" si="59"/>
        <v>-185599.23093356122</v>
      </c>
    </row>
    <row r="938" spans="1:9" x14ac:dyDescent="0.35">
      <c r="A938" s="11">
        <v>13137.272255623035</v>
      </c>
      <c r="B938" s="20">
        <f t="shared" si="56"/>
        <v>300000</v>
      </c>
      <c r="C938" s="17">
        <f t="shared" si="57"/>
        <v>419609.05789361242</v>
      </c>
      <c r="G938" s="11">
        <v>6603.1678212836086</v>
      </c>
      <c r="H938" s="20">
        <f t="shared" si="58"/>
        <v>300000</v>
      </c>
      <c r="I938" s="17">
        <f t="shared" si="59"/>
        <v>-37778.252510147402</v>
      </c>
    </row>
    <row r="939" spans="1:9" x14ac:dyDescent="0.35">
      <c r="A939" s="11">
        <v>16443.342387157812</v>
      </c>
      <c r="B939" s="20">
        <f t="shared" si="56"/>
        <v>300000</v>
      </c>
      <c r="C939" s="17">
        <f t="shared" si="57"/>
        <v>550000</v>
      </c>
      <c r="G939" s="11">
        <v>6426.7708365123444</v>
      </c>
      <c r="H939" s="20">
        <f t="shared" si="58"/>
        <v>300000</v>
      </c>
      <c r="I939" s="17">
        <f t="shared" si="59"/>
        <v>-50126.041444135888</v>
      </c>
    </row>
    <row r="940" spans="1:9" x14ac:dyDescent="0.35">
      <c r="A940" s="11">
        <v>12289.773247474594</v>
      </c>
      <c r="B940" s="20">
        <f t="shared" si="56"/>
        <v>300000</v>
      </c>
      <c r="C940" s="17">
        <f t="shared" si="57"/>
        <v>360284.12732322153</v>
      </c>
      <c r="G940" s="11">
        <v>3605.3346354564042</v>
      </c>
      <c r="H940" s="20">
        <f t="shared" si="58"/>
        <v>180266.7317728202</v>
      </c>
      <c r="I940" s="17">
        <f t="shared" si="59"/>
        <v>-247626.57551805172</v>
      </c>
    </row>
    <row r="941" spans="1:9" x14ac:dyDescent="0.35">
      <c r="A941" s="11">
        <v>12717.947935422833</v>
      </c>
      <c r="B941" s="20">
        <f t="shared" si="56"/>
        <v>300000</v>
      </c>
      <c r="C941" s="17">
        <f t="shared" si="57"/>
        <v>390256.35547959828</v>
      </c>
      <c r="G941" s="11">
        <v>4246.9862971892453</v>
      </c>
      <c r="H941" s="20">
        <f t="shared" si="58"/>
        <v>212349.31485946226</v>
      </c>
      <c r="I941" s="17">
        <f t="shared" si="59"/>
        <v>-202710.95919675281</v>
      </c>
    </row>
    <row r="942" spans="1:9" x14ac:dyDescent="0.35">
      <c r="A942" s="11">
        <v>14246.009704886013</v>
      </c>
      <c r="B942" s="20">
        <f t="shared" si="56"/>
        <v>300000</v>
      </c>
      <c r="C942" s="17">
        <f t="shared" si="57"/>
        <v>497220.67934202089</v>
      </c>
      <c r="G942" s="11">
        <v>6909.8788415173804</v>
      </c>
      <c r="H942" s="20">
        <f t="shared" si="58"/>
        <v>300000</v>
      </c>
      <c r="I942" s="17">
        <f t="shared" si="59"/>
        <v>-16308.481093783397</v>
      </c>
    </row>
    <row r="943" spans="1:9" x14ac:dyDescent="0.35">
      <c r="A943" s="11">
        <v>13575.060274056215</v>
      </c>
      <c r="B943" s="20">
        <f t="shared" si="56"/>
        <v>300000</v>
      </c>
      <c r="C943" s="17">
        <f t="shared" si="57"/>
        <v>450254.21918393509</v>
      </c>
      <c r="G943" s="11">
        <v>4296.4262825403603</v>
      </c>
      <c r="H943" s="20">
        <f t="shared" si="58"/>
        <v>214821.31412701801</v>
      </c>
      <c r="I943" s="17">
        <f t="shared" si="59"/>
        <v>-199250.16022217477</v>
      </c>
    </row>
    <row r="944" spans="1:9" x14ac:dyDescent="0.35">
      <c r="A944" s="11">
        <v>14295.449690237128</v>
      </c>
      <c r="B944" s="20">
        <f t="shared" si="56"/>
        <v>300000</v>
      </c>
      <c r="C944" s="17">
        <f t="shared" si="57"/>
        <v>500681.47831659904</v>
      </c>
      <c r="G944" s="11">
        <v>6096.4079714346753</v>
      </c>
      <c r="H944" s="20">
        <f t="shared" si="58"/>
        <v>300000</v>
      </c>
      <c r="I944" s="17">
        <f t="shared" si="59"/>
        <v>-73251.441999572737</v>
      </c>
    </row>
    <row r="945" spans="1:9" x14ac:dyDescent="0.35">
      <c r="A945" s="11">
        <v>12170.445875423444</v>
      </c>
      <c r="B945" s="20">
        <f t="shared" si="56"/>
        <v>300000</v>
      </c>
      <c r="C945" s="17">
        <f t="shared" si="57"/>
        <v>351931.21127964102</v>
      </c>
      <c r="G945" s="11">
        <v>6060.7013153477583</v>
      </c>
      <c r="H945" s="20">
        <f t="shared" si="58"/>
        <v>300000</v>
      </c>
      <c r="I945" s="17">
        <f t="shared" si="59"/>
        <v>-75750.907925656938</v>
      </c>
    </row>
    <row r="946" spans="1:9" x14ac:dyDescent="0.35">
      <c r="A946" s="11">
        <v>12457.777642139958</v>
      </c>
      <c r="B946" s="20">
        <f t="shared" si="56"/>
        <v>300000</v>
      </c>
      <c r="C946" s="17">
        <f t="shared" si="57"/>
        <v>372044.434949797</v>
      </c>
      <c r="G946" s="11">
        <v>5845.2406384472179</v>
      </c>
      <c r="H946" s="20">
        <f t="shared" si="58"/>
        <v>292262.03192236088</v>
      </c>
      <c r="I946" s="17">
        <f t="shared" si="59"/>
        <v>-90833.155308694753</v>
      </c>
    </row>
    <row r="947" spans="1:9" x14ac:dyDescent="0.35">
      <c r="A947" s="11">
        <v>15295.388653218177</v>
      </c>
      <c r="B947" s="20">
        <f t="shared" si="56"/>
        <v>300000</v>
      </c>
      <c r="C947" s="17">
        <f t="shared" si="57"/>
        <v>550000</v>
      </c>
      <c r="G947" s="11">
        <v>7652.8519547105316</v>
      </c>
      <c r="H947" s="20">
        <f t="shared" si="58"/>
        <v>300000</v>
      </c>
      <c r="I947" s="17">
        <f t="shared" si="59"/>
        <v>35699.636829737225</v>
      </c>
    </row>
    <row r="948" spans="1:9" x14ac:dyDescent="0.35">
      <c r="A948" s="11">
        <v>16873.653370769371</v>
      </c>
      <c r="B948" s="20">
        <f t="shared" si="56"/>
        <v>300000</v>
      </c>
      <c r="C948" s="17">
        <f t="shared" si="57"/>
        <v>550000</v>
      </c>
      <c r="G948" s="11">
        <v>5667.6229132969147</v>
      </c>
      <c r="H948" s="20">
        <f t="shared" si="58"/>
        <v>283381.14566484571</v>
      </c>
      <c r="I948" s="17">
        <f t="shared" si="59"/>
        <v>-103266.39606921596</v>
      </c>
    </row>
    <row r="949" spans="1:9" x14ac:dyDescent="0.35">
      <c r="A949" s="11">
        <v>15800.622577593311</v>
      </c>
      <c r="B949" s="20">
        <f t="shared" si="56"/>
        <v>300000</v>
      </c>
      <c r="C949" s="17">
        <f t="shared" si="57"/>
        <v>550000</v>
      </c>
      <c r="G949" s="11">
        <v>3046.0829493087558</v>
      </c>
      <c r="H949" s="20">
        <f t="shared" si="58"/>
        <v>152304.1474654378</v>
      </c>
      <c r="I949" s="17">
        <f t="shared" si="59"/>
        <v>-286774.19354838709</v>
      </c>
    </row>
    <row r="950" spans="1:9" x14ac:dyDescent="0.35">
      <c r="A950" s="11">
        <v>13735.587633899961</v>
      </c>
      <c r="B950" s="20">
        <f t="shared" si="56"/>
        <v>300000</v>
      </c>
      <c r="C950" s="17">
        <f t="shared" si="57"/>
        <v>461491.13437299721</v>
      </c>
      <c r="G950" s="11">
        <v>3933.7137974181342</v>
      </c>
      <c r="H950" s="20">
        <f t="shared" si="58"/>
        <v>196685.6898709067</v>
      </c>
      <c r="I950" s="17">
        <f t="shared" si="59"/>
        <v>-224640.03418073058</v>
      </c>
    </row>
    <row r="951" spans="1:9" x14ac:dyDescent="0.35">
      <c r="A951" s="11">
        <v>16179.509872737815</v>
      </c>
      <c r="B951" s="20">
        <f t="shared" si="56"/>
        <v>300000</v>
      </c>
      <c r="C951" s="17">
        <f t="shared" si="57"/>
        <v>550000</v>
      </c>
      <c r="G951" s="11">
        <v>7824.3659779656364</v>
      </c>
      <c r="H951" s="20">
        <f t="shared" si="58"/>
        <v>300000</v>
      </c>
      <c r="I951" s="17">
        <f t="shared" si="59"/>
        <v>47705.618457594537</v>
      </c>
    </row>
    <row r="952" spans="1:9" x14ac:dyDescent="0.35">
      <c r="A952" s="11">
        <v>16407.025360881373</v>
      </c>
      <c r="B952" s="20">
        <f t="shared" si="56"/>
        <v>300000</v>
      </c>
      <c r="C952" s="17">
        <f t="shared" si="57"/>
        <v>550000</v>
      </c>
      <c r="G952" s="11">
        <v>7124.1187780388809</v>
      </c>
      <c r="H952" s="20">
        <f t="shared" si="58"/>
        <v>300000</v>
      </c>
      <c r="I952" s="17">
        <f t="shared" si="59"/>
        <v>-1311.6855372783612</v>
      </c>
    </row>
    <row r="953" spans="1:9" x14ac:dyDescent="0.35">
      <c r="A953" s="11">
        <v>16629.047517319254</v>
      </c>
      <c r="B953" s="20">
        <f t="shared" si="56"/>
        <v>300000</v>
      </c>
      <c r="C953" s="17">
        <f t="shared" si="57"/>
        <v>550000</v>
      </c>
      <c r="G953" s="11">
        <v>6914.4566179387803</v>
      </c>
      <c r="H953" s="20">
        <f t="shared" si="58"/>
        <v>300000</v>
      </c>
      <c r="I953" s="17">
        <f t="shared" si="59"/>
        <v>-15988.036744285375</v>
      </c>
    </row>
    <row r="954" spans="1:9" x14ac:dyDescent="0.35">
      <c r="A954" s="11">
        <v>15005.157628101444</v>
      </c>
      <c r="B954" s="20">
        <f t="shared" si="56"/>
        <v>300000</v>
      </c>
      <c r="C954" s="17">
        <f t="shared" si="57"/>
        <v>550000</v>
      </c>
      <c r="G954" s="11">
        <v>5166.2038026062801</v>
      </c>
      <c r="H954" s="20">
        <f t="shared" si="58"/>
        <v>258310.190130314</v>
      </c>
      <c r="I954" s="17">
        <f t="shared" si="59"/>
        <v>-138365.73381756037</v>
      </c>
    </row>
    <row r="955" spans="1:9" x14ac:dyDescent="0.35">
      <c r="A955" s="11">
        <v>14983.489486373486</v>
      </c>
      <c r="B955" s="20">
        <f t="shared" si="56"/>
        <v>300000</v>
      </c>
      <c r="C955" s="17">
        <f t="shared" si="57"/>
        <v>548844.26404614397</v>
      </c>
      <c r="G955" s="11">
        <v>7969.0237128818626</v>
      </c>
      <c r="H955" s="20">
        <f t="shared" si="58"/>
        <v>300000</v>
      </c>
      <c r="I955" s="17">
        <f t="shared" si="59"/>
        <v>57831.659901730367</v>
      </c>
    </row>
    <row r="956" spans="1:9" x14ac:dyDescent="0.35">
      <c r="A956" s="11">
        <v>15527.024140140995</v>
      </c>
      <c r="B956" s="20">
        <f t="shared" si="56"/>
        <v>300000</v>
      </c>
      <c r="C956" s="17">
        <f t="shared" si="57"/>
        <v>550000</v>
      </c>
      <c r="G956" s="11">
        <v>3104.0681173131507</v>
      </c>
      <c r="H956" s="20">
        <f t="shared" si="58"/>
        <v>155203.40586565752</v>
      </c>
      <c r="I956" s="17">
        <f t="shared" si="59"/>
        <v>-282715.23178807949</v>
      </c>
    </row>
    <row r="957" spans="1:9" x14ac:dyDescent="0.35">
      <c r="A957" s="11">
        <v>12565.507980590228</v>
      </c>
      <c r="B957" s="20">
        <f t="shared" si="56"/>
        <v>300000</v>
      </c>
      <c r="C957" s="17">
        <f t="shared" si="57"/>
        <v>379585.5586413159</v>
      </c>
      <c r="G957" s="11">
        <v>5913.9072847682119</v>
      </c>
      <c r="H957" s="20">
        <f t="shared" si="58"/>
        <v>295695.36423841061</v>
      </c>
      <c r="I957" s="17">
        <f t="shared" si="59"/>
        <v>-86026.490066225175</v>
      </c>
    </row>
    <row r="958" spans="1:9" x14ac:dyDescent="0.35">
      <c r="A958" s="11">
        <v>12627.765739921262</v>
      </c>
      <c r="B958" s="20">
        <f t="shared" si="56"/>
        <v>300000</v>
      </c>
      <c r="C958" s="17">
        <f t="shared" si="57"/>
        <v>383943.60179448838</v>
      </c>
      <c r="G958" s="11">
        <v>3803.7049470503862</v>
      </c>
      <c r="H958" s="20">
        <f t="shared" si="58"/>
        <v>190185.24735251931</v>
      </c>
      <c r="I958" s="17">
        <f t="shared" si="59"/>
        <v>-233740.65370647295</v>
      </c>
    </row>
    <row r="959" spans="1:9" x14ac:dyDescent="0.35">
      <c r="A959" s="11">
        <v>14851.649525437177</v>
      </c>
      <c r="B959" s="20">
        <f t="shared" si="56"/>
        <v>300000</v>
      </c>
      <c r="C959" s="17">
        <f t="shared" si="57"/>
        <v>539615.46678060235</v>
      </c>
      <c r="G959" s="11">
        <v>5783.7458418530841</v>
      </c>
      <c r="H959" s="20">
        <f t="shared" si="58"/>
        <v>289187.29209265421</v>
      </c>
      <c r="I959" s="17">
        <f t="shared" si="59"/>
        <v>-95137.791070284089</v>
      </c>
    </row>
    <row r="960" spans="1:9" x14ac:dyDescent="0.35">
      <c r="A960" s="11">
        <v>15613.544114505446</v>
      </c>
      <c r="B960" s="20">
        <f t="shared" si="56"/>
        <v>300000</v>
      </c>
      <c r="C960" s="17">
        <f t="shared" si="57"/>
        <v>550000</v>
      </c>
      <c r="G960" s="11">
        <v>6573.8700521866513</v>
      </c>
      <c r="H960" s="20">
        <f t="shared" si="58"/>
        <v>300000</v>
      </c>
      <c r="I960" s="17">
        <f t="shared" si="59"/>
        <v>-39829.096346934384</v>
      </c>
    </row>
    <row r="961" spans="1:9" x14ac:dyDescent="0.35">
      <c r="A961" s="11">
        <v>14531.510361033968</v>
      </c>
      <c r="B961" s="20">
        <f t="shared" si="56"/>
        <v>300000</v>
      </c>
      <c r="C961" s="17">
        <f t="shared" si="57"/>
        <v>517205.72527237784</v>
      </c>
      <c r="G961" s="11">
        <v>5475.3563035981315</v>
      </c>
      <c r="H961" s="20">
        <f t="shared" si="58"/>
        <v>273767.81517990655</v>
      </c>
      <c r="I961" s="17">
        <f t="shared" si="59"/>
        <v>-116725.0587481308</v>
      </c>
    </row>
    <row r="962" spans="1:9" x14ac:dyDescent="0.35">
      <c r="A962" s="11">
        <v>16156.620990630818</v>
      </c>
      <c r="B962" s="20">
        <f t="shared" si="56"/>
        <v>300000</v>
      </c>
      <c r="C962" s="17">
        <f t="shared" si="57"/>
        <v>550000</v>
      </c>
      <c r="G962" s="11">
        <v>3067.9036835840939</v>
      </c>
      <c r="H962" s="20">
        <f t="shared" si="58"/>
        <v>153395.18417920469</v>
      </c>
      <c r="I962" s="17">
        <f t="shared" si="59"/>
        <v>-285246.74214911344</v>
      </c>
    </row>
    <row r="963" spans="1:9" x14ac:dyDescent="0.35">
      <c r="A963" s="11">
        <v>12675.374614703818</v>
      </c>
      <c r="B963" s="20">
        <f t="shared" si="56"/>
        <v>300000</v>
      </c>
      <c r="C963" s="17">
        <f t="shared" si="57"/>
        <v>387276.22302926728</v>
      </c>
      <c r="G963" s="11">
        <v>5561.2659077730641</v>
      </c>
      <c r="H963" s="20">
        <f t="shared" si="58"/>
        <v>278063.29538865318</v>
      </c>
      <c r="I963" s="17">
        <f t="shared" si="59"/>
        <v>-110711.38645588548</v>
      </c>
    </row>
    <row r="964" spans="1:9" x14ac:dyDescent="0.35">
      <c r="A964" s="11">
        <v>16844.660786767174</v>
      </c>
      <c r="B964" s="20">
        <f t="shared" si="56"/>
        <v>300000</v>
      </c>
      <c r="C964" s="17">
        <f t="shared" si="57"/>
        <v>550000</v>
      </c>
      <c r="G964" s="11">
        <v>5282.6319162572099</v>
      </c>
      <c r="H964" s="20">
        <f t="shared" si="58"/>
        <v>264131.59581286047</v>
      </c>
      <c r="I964" s="17">
        <f t="shared" si="59"/>
        <v>-130215.76586199529</v>
      </c>
    </row>
    <row r="965" spans="1:9" x14ac:dyDescent="0.35">
      <c r="A965" s="11">
        <v>16936.826685384687</v>
      </c>
      <c r="B965" s="20">
        <f t="shared" si="56"/>
        <v>300000</v>
      </c>
      <c r="C965" s="17">
        <f t="shared" si="57"/>
        <v>550000</v>
      </c>
      <c r="G965" s="11">
        <v>7968.7185277871031</v>
      </c>
      <c r="H965" s="20">
        <f t="shared" si="58"/>
        <v>300000</v>
      </c>
      <c r="I965" s="17">
        <f t="shared" si="59"/>
        <v>57810.296945097158</v>
      </c>
    </row>
    <row r="966" spans="1:9" x14ac:dyDescent="0.35">
      <c r="A966" s="11">
        <v>15029.877620777001</v>
      </c>
      <c r="B966" s="20">
        <f t="shared" si="56"/>
        <v>300000</v>
      </c>
      <c r="C966" s="17">
        <f t="shared" si="57"/>
        <v>550000</v>
      </c>
      <c r="G966" s="11">
        <v>6496.3530381176188</v>
      </c>
      <c r="H966" s="20">
        <f t="shared" si="58"/>
        <v>300000</v>
      </c>
      <c r="I966" s="17">
        <f t="shared" si="59"/>
        <v>-45255.287331766682</v>
      </c>
    </row>
    <row r="967" spans="1:9" x14ac:dyDescent="0.35">
      <c r="A967" s="11">
        <v>14633.136997589037</v>
      </c>
      <c r="B967" s="20">
        <f t="shared" si="56"/>
        <v>300000</v>
      </c>
      <c r="C967" s="17">
        <f t="shared" si="57"/>
        <v>524319.58983123268</v>
      </c>
      <c r="G967" s="11">
        <v>7248.3291116061891</v>
      </c>
      <c r="H967" s="20">
        <f t="shared" si="58"/>
        <v>300000</v>
      </c>
      <c r="I967" s="17">
        <f t="shared" si="59"/>
        <v>7383.0378124332638</v>
      </c>
    </row>
    <row r="968" spans="1:9" x14ac:dyDescent="0.35">
      <c r="A968" s="11">
        <v>14700.73549607837</v>
      </c>
      <c r="B968" s="20">
        <f t="shared" si="56"/>
        <v>300000</v>
      </c>
      <c r="C968" s="17">
        <f t="shared" si="57"/>
        <v>529051.48472548591</v>
      </c>
      <c r="G968" s="11">
        <v>5213.5074922940767</v>
      </c>
      <c r="H968" s="20">
        <f t="shared" si="58"/>
        <v>260675.37461470382</v>
      </c>
      <c r="I968" s="17">
        <f t="shared" si="59"/>
        <v>-135054.47553941462</v>
      </c>
    </row>
    <row r="969" spans="1:9" x14ac:dyDescent="0.35">
      <c r="A969" s="11">
        <v>13791.283913693655</v>
      </c>
      <c r="B969" s="20">
        <f t="shared" si="56"/>
        <v>300000</v>
      </c>
      <c r="C969" s="17">
        <f t="shared" si="57"/>
        <v>465389.87395855587</v>
      </c>
      <c r="G969" s="11">
        <v>5476.5770439771723</v>
      </c>
      <c r="H969" s="20">
        <f t="shared" si="58"/>
        <v>273828.85219885863</v>
      </c>
      <c r="I969" s="17">
        <f t="shared" si="59"/>
        <v>-116639.60692159797</v>
      </c>
    </row>
    <row r="970" spans="1:9" x14ac:dyDescent="0.35">
      <c r="A970" s="11">
        <v>13363.261818292794</v>
      </c>
      <c r="B970" s="20">
        <f t="shared" si="56"/>
        <v>300000</v>
      </c>
      <c r="C970" s="17">
        <f t="shared" si="57"/>
        <v>435428.32728049567</v>
      </c>
      <c r="G970" s="11">
        <v>5245.0941496017331</v>
      </c>
      <c r="H970" s="20">
        <f t="shared" si="58"/>
        <v>262254.70748008665</v>
      </c>
      <c r="I970" s="17">
        <f t="shared" si="59"/>
        <v>-132843.40952787868</v>
      </c>
    </row>
    <row r="971" spans="1:9" x14ac:dyDescent="0.35">
      <c r="A971" s="11">
        <v>12443.586535233619</v>
      </c>
      <c r="B971" s="20">
        <f t="shared" si="56"/>
        <v>300000</v>
      </c>
      <c r="C971" s="17">
        <f t="shared" si="57"/>
        <v>371051.05746635329</v>
      </c>
      <c r="G971" s="11">
        <v>7661.5497299111912</v>
      </c>
      <c r="H971" s="20">
        <f t="shared" si="58"/>
        <v>300000</v>
      </c>
      <c r="I971" s="17">
        <f t="shared" si="59"/>
        <v>36308.481093783397</v>
      </c>
    </row>
    <row r="972" spans="1:9" x14ac:dyDescent="0.35">
      <c r="A972" s="11">
        <v>14331.003753776666</v>
      </c>
      <c r="B972" s="20">
        <f t="shared" si="56"/>
        <v>300000</v>
      </c>
      <c r="C972" s="17">
        <f t="shared" si="57"/>
        <v>503170.26276436658</v>
      </c>
      <c r="G972" s="11">
        <v>7558.5497604297007</v>
      </c>
      <c r="H972" s="20">
        <f t="shared" si="58"/>
        <v>300000</v>
      </c>
      <c r="I972" s="17">
        <f t="shared" si="59"/>
        <v>29098.483230079059</v>
      </c>
    </row>
    <row r="973" spans="1:9" x14ac:dyDescent="0.35">
      <c r="A973" s="11">
        <v>16232.459486678672</v>
      </c>
      <c r="B973" s="20">
        <f t="shared" si="56"/>
        <v>300000</v>
      </c>
      <c r="C973" s="17">
        <f t="shared" si="57"/>
        <v>550000</v>
      </c>
      <c r="G973" s="11">
        <v>6993.1943723868526</v>
      </c>
      <c r="H973" s="20">
        <f t="shared" si="58"/>
        <v>300000</v>
      </c>
      <c r="I973" s="17">
        <f t="shared" si="59"/>
        <v>-10476.393932920299</v>
      </c>
    </row>
    <row r="974" spans="1:9" x14ac:dyDescent="0.35">
      <c r="A974" s="11">
        <v>15491.622669148839</v>
      </c>
      <c r="B974" s="20">
        <f t="shared" si="56"/>
        <v>300000</v>
      </c>
      <c r="C974" s="17">
        <f t="shared" si="57"/>
        <v>550000</v>
      </c>
      <c r="G974" s="11">
        <v>7120.9143345439006</v>
      </c>
      <c r="H974" s="20">
        <f t="shared" si="58"/>
        <v>300000</v>
      </c>
      <c r="I974" s="17">
        <f t="shared" si="59"/>
        <v>-1535.9965819269419</v>
      </c>
    </row>
    <row r="975" spans="1:9" x14ac:dyDescent="0.35">
      <c r="A975" s="11">
        <v>12363.017670216987</v>
      </c>
      <c r="B975" s="20">
        <f t="shared" si="56"/>
        <v>300000</v>
      </c>
      <c r="C975" s="17">
        <f t="shared" si="57"/>
        <v>365411.23691518907</v>
      </c>
      <c r="G975" s="11">
        <v>6519.2419202246165</v>
      </c>
      <c r="H975" s="20">
        <f t="shared" si="58"/>
        <v>300000</v>
      </c>
      <c r="I975" s="17">
        <f t="shared" si="59"/>
        <v>-43653.065584276861</v>
      </c>
    </row>
    <row r="976" spans="1:9" x14ac:dyDescent="0.35">
      <c r="A976" s="11">
        <v>16686.574907681508</v>
      </c>
      <c r="B976" s="20">
        <f t="shared" si="56"/>
        <v>300000</v>
      </c>
      <c r="C976" s="17">
        <f t="shared" si="57"/>
        <v>550000</v>
      </c>
      <c r="G976" s="11">
        <v>6252.0523697622612</v>
      </c>
      <c r="H976" s="20">
        <f t="shared" si="58"/>
        <v>300000</v>
      </c>
      <c r="I976" s="17">
        <f t="shared" si="59"/>
        <v>-62356.334116641723</v>
      </c>
    </row>
    <row r="977" spans="1:9" x14ac:dyDescent="0.35">
      <c r="A977" s="11">
        <v>14749.565111239968</v>
      </c>
      <c r="B977" s="20">
        <f t="shared" si="56"/>
        <v>300000</v>
      </c>
      <c r="C977" s="17">
        <f t="shared" si="57"/>
        <v>532469.55778679776</v>
      </c>
      <c r="G977" s="11">
        <v>3950.4989776299326</v>
      </c>
      <c r="H977" s="20">
        <f t="shared" si="58"/>
        <v>197524.94888149662</v>
      </c>
      <c r="I977" s="17">
        <f t="shared" si="59"/>
        <v>-223465.07156590471</v>
      </c>
    </row>
    <row r="978" spans="1:9" x14ac:dyDescent="0.35">
      <c r="A978" s="11">
        <v>12419.324320200201</v>
      </c>
      <c r="B978" s="20">
        <f t="shared" si="56"/>
        <v>300000</v>
      </c>
      <c r="C978" s="17">
        <f t="shared" si="57"/>
        <v>369352.70241401414</v>
      </c>
      <c r="G978" s="11">
        <v>5620.929593798639</v>
      </c>
      <c r="H978" s="20">
        <f t="shared" si="58"/>
        <v>281046.47968993196</v>
      </c>
      <c r="I978" s="17">
        <f t="shared" si="59"/>
        <v>-106534.92843409529</v>
      </c>
    </row>
    <row r="979" spans="1:9" x14ac:dyDescent="0.35">
      <c r="A979" s="11">
        <v>16457.380901516772</v>
      </c>
      <c r="B979" s="20">
        <f t="shared" si="56"/>
        <v>300000</v>
      </c>
      <c r="C979" s="17">
        <f t="shared" si="57"/>
        <v>550000</v>
      </c>
      <c r="G979" s="11">
        <v>7442.2742393261515</v>
      </c>
      <c r="H979" s="20">
        <f t="shared" si="58"/>
        <v>300000</v>
      </c>
      <c r="I979" s="17">
        <f t="shared" si="59"/>
        <v>20959.196752830583</v>
      </c>
    </row>
    <row r="980" spans="1:9" x14ac:dyDescent="0.35">
      <c r="A980" s="11">
        <v>12826.899014252143</v>
      </c>
      <c r="B980" s="20">
        <f t="shared" si="56"/>
        <v>300000</v>
      </c>
      <c r="C980" s="17">
        <f t="shared" si="57"/>
        <v>397882.93099765002</v>
      </c>
      <c r="G980" s="11">
        <v>5589.9533066805016</v>
      </c>
      <c r="H980" s="20">
        <f t="shared" si="58"/>
        <v>279497.66533402505</v>
      </c>
      <c r="I980" s="17">
        <f t="shared" si="59"/>
        <v>-108703.26853236486</v>
      </c>
    </row>
    <row r="981" spans="1:9" x14ac:dyDescent="0.35">
      <c r="A981" s="11">
        <v>16887.38670003357</v>
      </c>
      <c r="B981" s="20">
        <f t="shared" si="56"/>
        <v>300000</v>
      </c>
      <c r="C981" s="17">
        <f t="shared" si="57"/>
        <v>550000</v>
      </c>
      <c r="G981" s="11">
        <v>5484.8170415356908</v>
      </c>
      <c r="H981" s="20">
        <f t="shared" si="58"/>
        <v>274240.85207678453</v>
      </c>
      <c r="I981" s="17">
        <f t="shared" si="59"/>
        <v>-116062.80709250167</v>
      </c>
    </row>
    <row r="982" spans="1:9" x14ac:dyDescent="0.35">
      <c r="A982" s="11">
        <v>16837.031159398175</v>
      </c>
      <c r="B982" s="20">
        <f t="shared" si="56"/>
        <v>300000</v>
      </c>
      <c r="C982" s="17">
        <f t="shared" si="57"/>
        <v>550000</v>
      </c>
      <c r="G982" s="11">
        <v>4766.4113284707173</v>
      </c>
      <c r="H982" s="20">
        <f t="shared" si="58"/>
        <v>238320.56642353587</v>
      </c>
      <c r="I982" s="17">
        <f t="shared" si="59"/>
        <v>-166351.20700704982</v>
      </c>
    </row>
    <row r="983" spans="1:9" x14ac:dyDescent="0.35">
      <c r="A983" s="11">
        <v>13181.829279457992</v>
      </c>
      <c r="B983" s="20">
        <f t="shared" si="56"/>
        <v>300000</v>
      </c>
      <c r="C983" s="17">
        <f t="shared" si="57"/>
        <v>422728.04956205946</v>
      </c>
      <c r="G983" s="11">
        <v>6582.8730124820704</v>
      </c>
      <c r="H983" s="20">
        <f t="shared" si="58"/>
        <v>300000</v>
      </c>
      <c r="I983" s="17">
        <f t="shared" si="59"/>
        <v>-39198.889126255061</v>
      </c>
    </row>
    <row r="984" spans="1:9" x14ac:dyDescent="0.35">
      <c r="A984" s="11">
        <v>15309.274575029754</v>
      </c>
      <c r="B984" s="20">
        <f t="shared" si="56"/>
        <v>300000</v>
      </c>
      <c r="C984" s="17">
        <f t="shared" si="57"/>
        <v>550000</v>
      </c>
      <c r="G984" s="11">
        <v>4969.817194128239</v>
      </c>
      <c r="H984" s="20">
        <f t="shared" si="58"/>
        <v>248490.85970641195</v>
      </c>
      <c r="I984" s="17">
        <f t="shared" si="59"/>
        <v>-152112.7964110233</v>
      </c>
    </row>
    <row r="985" spans="1:9" x14ac:dyDescent="0.35">
      <c r="A985" s="11">
        <v>13709.189123203223</v>
      </c>
      <c r="B985" s="20">
        <f t="shared" si="56"/>
        <v>300000</v>
      </c>
      <c r="C985" s="17">
        <f t="shared" si="57"/>
        <v>459643.2386242256</v>
      </c>
      <c r="G985" s="11">
        <v>7341.56315805536</v>
      </c>
      <c r="H985" s="20">
        <f t="shared" si="58"/>
        <v>300000</v>
      </c>
      <c r="I985" s="17">
        <f t="shared" si="59"/>
        <v>13909.421063875197</v>
      </c>
    </row>
    <row r="986" spans="1:9" x14ac:dyDescent="0.35">
      <c r="A986" s="11">
        <v>16855.952635273294</v>
      </c>
      <c r="B986" s="20">
        <f t="shared" si="56"/>
        <v>300000</v>
      </c>
      <c r="C986" s="17">
        <f t="shared" si="57"/>
        <v>550000</v>
      </c>
      <c r="G986" s="11">
        <v>3006.4088869899592</v>
      </c>
      <c r="H986" s="20">
        <f t="shared" si="58"/>
        <v>150320.44434949796</v>
      </c>
      <c r="I986" s="17">
        <f t="shared" si="59"/>
        <v>-289551.37791070284</v>
      </c>
    </row>
    <row r="987" spans="1:9" x14ac:dyDescent="0.35">
      <c r="A987" s="11">
        <v>16798.272652363659</v>
      </c>
      <c r="B987" s="20">
        <f t="shared" si="56"/>
        <v>300000</v>
      </c>
      <c r="C987" s="17">
        <f t="shared" si="57"/>
        <v>550000</v>
      </c>
      <c r="G987" s="11">
        <v>4035.9508041627246</v>
      </c>
      <c r="H987" s="20">
        <f t="shared" si="58"/>
        <v>201797.54020813623</v>
      </c>
      <c r="I987" s="17">
        <f t="shared" si="59"/>
        <v>-217483.44370860927</v>
      </c>
    </row>
    <row r="988" spans="1:9" x14ac:dyDescent="0.35">
      <c r="A988" s="11">
        <v>13060.060426648763</v>
      </c>
      <c r="B988" s="20">
        <f t="shared" si="56"/>
        <v>300000</v>
      </c>
      <c r="C988" s="17">
        <f t="shared" si="57"/>
        <v>414204.22986541339</v>
      </c>
      <c r="G988" s="11">
        <v>5280.0378429517496</v>
      </c>
      <c r="H988" s="20">
        <f t="shared" si="58"/>
        <v>264001.8921475875</v>
      </c>
      <c r="I988" s="17">
        <f t="shared" si="59"/>
        <v>-130397.35099337751</v>
      </c>
    </row>
    <row r="989" spans="1:9" x14ac:dyDescent="0.35">
      <c r="A989" s="11">
        <v>15800.775170140691</v>
      </c>
      <c r="B989" s="20">
        <f t="shared" si="56"/>
        <v>300000</v>
      </c>
      <c r="C989" s="17">
        <f t="shared" si="57"/>
        <v>550000</v>
      </c>
      <c r="G989" s="11">
        <v>5832.117679372539</v>
      </c>
      <c r="H989" s="20">
        <f t="shared" si="58"/>
        <v>291605.88396862696</v>
      </c>
      <c r="I989" s="17">
        <f t="shared" si="59"/>
        <v>-91751.762443922285</v>
      </c>
    </row>
    <row r="990" spans="1:9" x14ac:dyDescent="0.35">
      <c r="A990" s="11">
        <v>16121.982482375561</v>
      </c>
      <c r="B990" s="20">
        <f t="shared" si="56"/>
        <v>300000</v>
      </c>
      <c r="C990" s="17">
        <f t="shared" si="57"/>
        <v>550000</v>
      </c>
      <c r="G990" s="11">
        <v>6975.4936368907747</v>
      </c>
      <c r="H990" s="20">
        <f t="shared" si="58"/>
        <v>300000</v>
      </c>
      <c r="I990" s="17">
        <f t="shared" si="59"/>
        <v>-11715.445417645795</v>
      </c>
    </row>
    <row r="991" spans="1:9" x14ac:dyDescent="0.35">
      <c r="A991" s="11">
        <v>12660.267952513199</v>
      </c>
      <c r="B991" s="20">
        <f t="shared" si="56"/>
        <v>300000</v>
      </c>
      <c r="C991" s="17">
        <f t="shared" si="57"/>
        <v>386218.75667592394</v>
      </c>
      <c r="G991" s="11">
        <v>5691.5799432355725</v>
      </c>
      <c r="H991" s="20">
        <f t="shared" si="58"/>
        <v>284578.99716177862</v>
      </c>
      <c r="I991" s="17">
        <f t="shared" si="59"/>
        <v>-101589.40397350991</v>
      </c>
    </row>
    <row r="992" spans="1:9" x14ac:dyDescent="0.35">
      <c r="A992" s="11">
        <v>13642.200994903409</v>
      </c>
      <c r="B992" s="20">
        <f t="shared" si="56"/>
        <v>300000</v>
      </c>
      <c r="C992" s="17">
        <f t="shared" si="57"/>
        <v>454954.06964323868</v>
      </c>
      <c r="G992" s="11">
        <v>3971.8619342631305</v>
      </c>
      <c r="H992" s="20">
        <f t="shared" si="58"/>
        <v>198593.09671315653</v>
      </c>
      <c r="I992" s="17">
        <f t="shared" si="59"/>
        <v>-221969.66460158088</v>
      </c>
    </row>
    <row r="993" spans="1:9" x14ac:dyDescent="0.35">
      <c r="A993" s="11">
        <v>12096.438489944152</v>
      </c>
      <c r="B993" s="20">
        <f t="shared" si="56"/>
        <v>300000</v>
      </c>
      <c r="C993" s="17">
        <f t="shared" si="57"/>
        <v>346750.69429609063</v>
      </c>
      <c r="G993" s="11">
        <v>5744.5295571764273</v>
      </c>
      <c r="H993" s="20">
        <f t="shared" si="58"/>
        <v>287226.47785882134</v>
      </c>
      <c r="I993" s="17">
        <f t="shared" si="59"/>
        <v>-97882.930997650081</v>
      </c>
    </row>
    <row r="994" spans="1:9" x14ac:dyDescent="0.35">
      <c r="A994" s="11">
        <v>15461.409344767602</v>
      </c>
      <c r="B994" s="20">
        <f t="shared" ref="B994:B1032" si="60">50*MIN(6000,A994)</f>
        <v>300000</v>
      </c>
      <c r="C994" s="17">
        <f t="shared" ref="C994:C1032" si="61">70*MIN(15000,A994)-500000</f>
        <v>550000</v>
      </c>
      <c r="G994" s="11">
        <v>3386.5169225135046</v>
      </c>
      <c r="H994" s="20">
        <f t="shared" ref="H994:H1032" si="62">50*MIN(6000,G994)</f>
        <v>169325.84612567522</v>
      </c>
      <c r="I994" s="17">
        <f t="shared" ref="I994:I1032" si="63">70*MIN(15000,G994)-500000</f>
        <v>-262943.81542405469</v>
      </c>
    </row>
    <row r="995" spans="1:9" x14ac:dyDescent="0.35">
      <c r="A995" s="11">
        <v>12901.821955015717</v>
      </c>
      <c r="B995" s="20">
        <f t="shared" si="60"/>
        <v>300000</v>
      </c>
      <c r="C995" s="17">
        <f t="shared" si="61"/>
        <v>403127.53685110016</v>
      </c>
      <c r="G995" s="11">
        <v>5679.982909634693</v>
      </c>
      <c r="H995" s="20">
        <f t="shared" si="62"/>
        <v>283999.14548173465</v>
      </c>
      <c r="I995" s="17">
        <f t="shared" si="63"/>
        <v>-102401.19632557151</v>
      </c>
    </row>
    <row r="996" spans="1:9" x14ac:dyDescent="0.35">
      <c r="A996" s="11">
        <v>14320.322275460067</v>
      </c>
      <c r="B996" s="20">
        <f t="shared" si="60"/>
        <v>300000</v>
      </c>
      <c r="C996" s="17">
        <f t="shared" si="61"/>
        <v>502422.5592822046</v>
      </c>
      <c r="G996" s="11">
        <v>3343.0280465102087</v>
      </c>
      <c r="H996" s="20">
        <f t="shared" si="62"/>
        <v>167151.40232551043</v>
      </c>
      <c r="I996" s="17">
        <f t="shared" si="63"/>
        <v>-265988.03674428537</v>
      </c>
    </row>
    <row r="997" spans="1:9" x14ac:dyDescent="0.35">
      <c r="A997" s="11">
        <v>12309.305093539231</v>
      </c>
      <c r="B997" s="20">
        <f t="shared" si="60"/>
        <v>300000</v>
      </c>
      <c r="C997" s="17">
        <f t="shared" si="61"/>
        <v>361651.35654774623</v>
      </c>
      <c r="G997" s="11">
        <v>3614.7953733939635</v>
      </c>
      <c r="H997" s="20">
        <f t="shared" si="62"/>
        <v>180739.76866969818</v>
      </c>
      <c r="I997" s="17">
        <f t="shared" si="63"/>
        <v>-246964.32386242255</v>
      </c>
    </row>
    <row r="998" spans="1:9" x14ac:dyDescent="0.35">
      <c r="A998" s="11">
        <v>13716.055787835323</v>
      </c>
      <c r="B998" s="20">
        <f t="shared" si="60"/>
        <v>300000</v>
      </c>
      <c r="C998" s="17">
        <f t="shared" si="61"/>
        <v>460123.90514847264</v>
      </c>
      <c r="G998" s="11">
        <v>4840.1135288552505</v>
      </c>
      <c r="H998" s="20">
        <f t="shared" si="62"/>
        <v>242005.67644276252</v>
      </c>
      <c r="I998" s="17">
        <f t="shared" si="63"/>
        <v>-161192.05298013246</v>
      </c>
    </row>
    <row r="999" spans="1:9" x14ac:dyDescent="0.35">
      <c r="A999" s="11">
        <v>14553.483687856686</v>
      </c>
      <c r="B999" s="20">
        <f t="shared" si="60"/>
        <v>300000</v>
      </c>
      <c r="C999" s="17">
        <f t="shared" si="61"/>
        <v>518743.85814996797</v>
      </c>
      <c r="G999" s="11">
        <v>7072.2373119296844</v>
      </c>
      <c r="H999" s="20">
        <f t="shared" si="62"/>
        <v>300000</v>
      </c>
      <c r="I999" s="17">
        <f t="shared" si="63"/>
        <v>-4943.3881649220712</v>
      </c>
    </row>
    <row r="1000" spans="1:9" x14ac:dyDescent="0.35">
      <c r="A1000" s="11">
        <v>15830.530716879788</v>
      </c>
      <c r="B1000" s="20">
        <f t="shared" si="60"/>
        <v>300000</v>
      </c>
      <c r="C1000" s="17">
        <f t="shared" si="61"/>
        <v>550000</v>
      </c>
      <c r="G1000" s="11">
        <v>4067.0796838282422</v>
      </c>
      <c r="H1000" s="20">
        <f t="shared" si="62"/>
        <v>203353.98419141211</v>
      </c>
      <c r="I1000" s="17">
        <f t="shared" si="63"/>
        <v>-215304.42213202303</v>
      </c>
    </row>
    <row r="1001" spans="1:9" x14ac:dyDescent="0.35">
      <c r="A1001" s="11">
        <v>16245.429853205969</v>
      </c>
      <c r="B1001" s="20">
        <f t="shared" si="60"/>
        <v>300000</v>
      </c>
      <c r="C1001" s="17">
        <f t="shared" si="61"/>
        <v>550000</v>
      </c>
      <c r="G1001" s="11">
        <v>5268.1356242561114</v>
      </c>
      <c r="H1001" s="20">
        <f t="shared" si="62"/>
        <v>263406.7812128056</v>
      </c>
      <c r="I1001" s="17">
        <f t="shared" si="63"/>
        <v>-131230.5063020722</v>
      </c>
    </row>
    <row r="1002" spans="1:9" x14ac:dyDescent="0.35">
      <c r="A1002" s="11">
        <v>12925.473799859616</v>
      </c>
      <c r="B1002" s="20">
        <f t="shared" si="60"/>
        <v>300000</v>
      </c>
      <c r="C1002" s="17">
        <f t="shared" si="61"/>
        <v>404783.16599017312</v>
      </c>
      <c r="G1002" s="11">
        <v>7829.5541245765553</v>
      </c>
      <c r="H1002" s="20">
        <f t="shared" si="62"/>
        <v>300000</v>
      </c>
      <c r="I1002" s="17">
        <f t="shared" si="63"/>
        <v>48068.788720358862</v>
      </c>
    </row>
    <row r="1003" spans="1:9" x14ac:dyDescent="0.35">
      <c r="A1003" s="11">
        <v>14624.897000030518</v>
      </c>
      <c r="B1003" s="20">
        <f t="shared" si="60"/>
        <v>300000</v>
      </c>
      <c r="C1003" s="17">
        <f t="shared" si="61"/>
        <v>523742.79000213626</v>
      </c>
      <c r="G1003" s="11">
        <v>5985.6257820368055</v>
      </c>
      <c r="H1003" s="20">
        <f t="shared" si="62"/>
        <v>299281.28910184029</v>
      </c>
      <c r="I1003" s="17">
        <f t="shared" si="63"/>
        <v>-81006.19525742362</v>
      </c>
    </row>
    <row r="1004" spans="1:9" x14ac:dyDescent="0.35">
      <c r="A1004" s="11">
        <v>15261.51310769982</v>
      </c>
      <c r="B1004" s="20">
        <f t="shared" si="60"/>
        <v>300000</v>
      </c>
      <c r="C1004" s="17">
        <f t="shared" si="61"/>
        <v>550000</v>
      </c>
      <c r="G1004" s="11">
        <v>3495.9257789849544</v>
      </c>
      <c r="H1004" s="20">
        <f t="shared" si="62"/>
        <v>174796.28894924771</v>
      </c>
      <c r="I1004" s="17">
        <f t="shared" si="63"/>
        <v>-255285.19547105319</v>
      </c>
    </row>
    <row r="1005" spans="1:9" x14ac:dyDescent="0.35">
      <c r="A1005" s="11">
        <v>15784.295175023652</v>
      </c>
      <c r="B1005" s="20">
        <f t="shared" si="60"/>
        <v>300000</v>
      </c>
      <c r="C1005" s="17">
        <f t="shared" si="61"/>
        <v>550000</v>
      </c>
      <c r="G1005" s="11">
        <v>4030.304879909665</v>
      </c>
      <c r="H1005" s="20">
        <f t="shared" si="62"/>
        <v>201515.24399548327</v>
      </c>
      <c r="I1005" s="17">
        <f t="shared" si="63"/>
        <v>-217878.65840632346</v>
      </c>
    </row>
    <row r="1006" spans="1:9" x14ac:dyDescent="0.35">
      <c r="A1006" s="11">
        <v>15509.475997192298</v>
      </c>
      <c r="B1006" s="20">
        <f t="shared" si="60"/>
        <v>300000</v>
      </c>
      <c r="C1006" s="17">
        <f t="shared" si="61"/>
        <v>550000</v>
      </c>
      <c r="G1006" s="11">
        <v>3725.8827478865933</v>
      </c>
      <c r="H1006" s="20">
        <f t="shared" si="62"/>
        <v>186294.13739432965</v>
      </c>
      <c r="I1006" s="17">
        <f t="shared" si="63"/>
        <v>-239188.20764793846</v>
      </c>
    </row>
    <row r="1007" spans="1:9" x14ac:dyDescent="0.35">
      <c r="A1007" s="11">
        <v>14179.479354228341</v>
      </c>
      <c r="B1007" s="20">
        <f t="shared" si="60"/>
        <v>300000</v>
      </c>
      <c r="C1007" s="17">
        <f t="shared" si="61"/>
        <v>492563.55479598383</v>
      </c>
      <c r="G1007" s="11">
        <v>6756.6759239478743</v>
      </c>
      <c r="H1007" s="20">
        <f t="shared" si="62"/>
        <v>300000</v>
      </c>
      <c r="I1007" s="17">
        <f t="shared" si="63"/>
        <v>-27032.685323648795</v>
      </c>
    </row>
    <row r="1008" spans="1:9" x14ac:dyDescent="0.35">
      <c r="A1008" s="11">
        <v>16954.832605975524</v>
      </c>
      <c r="B1008" s="20">
        <f t="shared" si="60"/>
        <v>300000</v>
      </c>
      <c r="C1008" s="17">
        <f t="shared" si="61"/>
        <v>550000</v>
      </c>
      <c r="G1008" s="11">
        <v>5771.8436231574451</v>
      </c>
      <c r="H1008" s="20">
        <f t="shared" si="62"/>
        <v>288592.18115787226</v>
      </c>
      <c r="I1008" s="17">
        <f t="shared" si="63"/>
        <v>-95970.946378978842</v>
      </c>
    </row>
    <row r="1009" spans="1:9" x14ac:dyDescent="0.35">
      <c r="A1009" s="11">
        <v>12807.519760734885</v>
      </c>
      <c r="B1009" s="20">
        <f t="shared" si="60"/>
        <v>300000</v>
      </c>
      <c r="C1009" s="17">
        <f t="shared" si="61"/>
        <v>396526.38325144199</v>
      </c>
      <c r="G1009" s="11">
        <v>3523.087252418592</v>
      </c>
      <c r="H1009" s="20">
        <f t="shared" si="62"/>
        <v>176154.36262092961</v>
      </c>
      <c r="I1009" s="17">
        <f t="shared" si="63"/>
        <v>-253383.89233069855</v>
      </c>
    </row>
    <row r="1010" spans="1:9" x14ac:dyDescent="0.35">
      <c r="A1010" s="11">
        <v>13609.241004669331</v>
      </c>
      <c r="B1010" s="20">
        <f t="shared" si="60"/>
        <v>300000</v>
      </c>
      <c r="C1010" s="17">
        <f t="shared" si="61"/>
        <v>452646.87032685324</v>
      </c>
      <c r="G1010" s="11">
        <v>6022.5531785027615</v>
      </c>
      <c r="H1010" s="20">
        <f t="shared" si="62"/>
        <v>300000</v>
      </c>
      <c r="I1010" s="17">
        <f t="shared" si="63"/>
        <v>-78421.277504806698</v>
      </c>
    </row>
    <row r="1011" spans="1:9" x14ac:dyDescent="0.35">
      <c r="A1011" s="11">
        <v>15935.514389477217</v>
      </c>
      <c r="B1011" s="20">
        <f t="shared" si="60"/>
        <v>300000</v>
      </c>
      <c r="C1011" s="17">
        <f t="shared" si="61"/>
        <v>550000</v>
      </c>
      <c r="G1011" s="11">
        <v>3332.4991607409893</v>
      </c>
      <c r="H1011" s="20">
        <f t="shared" si="62"/>
        <v>166624.95803704945</v>
      </c>
      <c r="I1011" s="17">
        <f t="shared" si="63"/>
        <v>-266725.05874813074</v>
      </c>
    </row>
    <row r="1012" spans="1:9" x14ac:dyDescent="0.35">
      <c r="A1012" s="11">
        <v>12826.288644062624</v>
      </c>
      <c r="B1012" s="20">
        <f t="shared" si="60"/>
        <v>300000</v>
      </c>
      <c r="C1012" s="17">
        <f t="shared" si="61"/>
        <v>397840.20508438372</v>
      </c>
      <c r="G1012" s="11">
        <v>3274.3614001892147</v>
      </c>
      <c r="H1012" s="20">
        <f t="shared" si="62"/>
        <v>163718.07000946073</v>
      </c>
      <c r="I1012" s="17">
        <f t="shared" si="63"/>
        <v>-270794.70198675501</v>
      </c>
    </row>
    <row r="1013" spans="1:9" x14ac:dyDescent="0.35">
      <c r="A1013" s="11">
        <v>13854.304635761589</v>
      </c>
      <c r="B1013" s="20">
        <f t="shared" si="60"/>
        <v>300000</v>
      </c>
      <c r="C1013" s="17">
        <f t="shared" si="61"/>
        <v>469801.32450331131</v>
      </c>
      <c r="G1013" s="11">
        <v>6443.5560167241429</v>
      </c>
      <c r="H1013" s="20">
        <f t="shared" si="62"/>
        <v>300000</v>
      </c>
      <c r="I1013" s="17">
        <f t="shared" si="63"/>
        <v>-48951.07882931002</v>
      </c>
    </row>
    <row r="1014" spans="1:9" x14ac:dyDescent="0.35">
      <c r="A1014" s="11">
        <v>13244.544816431166</v>
      </c>
      <c r="B1014" s="20">
        <f t="shared" si="60"/>
        <v>300000</v>
      </c>
      <c r="C1014" s="17">
        <f t="shared" si="61"/>
        <v>427118.13715018157</v>
      </c>
      <c r="G1014" s="11">
        <v>4619.4647053437911</v>
      </c>
      <c r="H1014" s="20">
        <f t="shared" si="62"/>
        <v>230973.23526718956</v>
      </c>
      <c r="I1014" s="17">
        <f t="shared" si="63"/>
        <v>-176637.4706259346</v>
      </c>
    </row>
    <row r="1015" spans="1:9" x14ac:dyDescent="0.35">
      <c r="A1015" s="11">
        <v>12423.139133884701</v>
      </c>
      <c r="B1015" s="20">
        <f t="shared" si="60"/>
        <v>300000</v>
      </c>
      <c r="C1015" s="17">
        <f t="shared" si="61"/>
        <v>369619.73937192908</v>
      </c>
      <c r="G1015" s="11">
        <v>4540.2691732535786</v>
      </c>
      <c r="H1015" s="20">
        <f t="shared" si="62"/>
        <v>227013.45866267892</v>
      </c>
      <c r="I1015" s="17">
        <f t="shared" si="63"/>
        <v>-182181.15787224949</v>
      </c>
    </row>
    <row r="1016" spans="1:9" x14ac:dyDescent="0.35">
      <c r="A1016" s="11">
        <v>16020.05066072573</v>
      </c>
      <c r="B1016" s="20">
        <f t="shared" si="60"/>
        <v>300000</v>
      </c>
      <c r="C1016" s="17">
        <f t="shared" si="61"/>
        <v>550000</v>
      </c>
      <c r="G1016" s="11">
        <v>6439.2834253975034</v>
      </c>
      <c r="H1016" s="20">
        <f t="shared" si="62"/>
        <v>300000</v>
      </c>
      <c r="I1016" s="17">
        <f t="shared" si="63"/>
        <v>-49250.160222174774</v>
      </c>
    </row>
    <row r="1017" spans="1:9" x14ac:dyDescent="0.35">
      <c r="A1017" s="11">
        <v>14788.018433179725</v>
      </c>
      <c r="B1017" s="20">
        <f t="shared" si="60"/>
        <v>300000</v>
      </c>
      <c r="C1017" s="17">
        <f t="shared" si="61"/>
        <v>535161.29032258072</v>
      </c>
      <c r="G1017" s="11">
        <v>3235.7554857020782</v>
      </c>
      <c r="H1017" s="20">
        <f t="shared" si="62"/>
        <v>161787.77428510392</v>
      </c>
      <c r="I1017" s="17">
        <f t="shared" si="63"/>
        <v>-273497.11600085453</v>
      </c>
    </row>
    <row r="1018" spans="1:9" x14ac:dyDescent="0.35">
      <c r="A1018" s="11">
        <v>13438.947721793267</v>
      </c>
      <c r="B1018" s="20">
        <f t="shared" si="60"/>
        <v>300000</v>
      </c>
      <c r="C1018" s="17">
        <f t="shared" si="61"/>
        <v>440726.34052552865</v>
      </c>
      <c r="G1018" s="11">
        <v>5431.7148350474563</v>
      </c>
      <c r="H1018" s="20">
        <f t="shared" si="62"/>
        <v>271585.74175237282</v>
      </c>
      <c r="I1018" s="17">
        <f t="shared" si="63"/>
        <v>-119779.96154667804</v>
      </c>
    </row>
    <row r="1019" spans="1:9" x14ac:dyDescent="0.35">
      <c r="A1019" s="11">
        <v>14230.292672505875</v>
      </c>
      <c r="B1019" s="20">
        <f t="shared" si="60"/>
        <v>300000</v>
      </c>
      <c r="C1019" s="17">
        <f t="shared" si="61"/>
        <v>496120.48707541125</v>
      </c>
      <c r="G1019" s="11">
        <v>3389.2635883663443</v>
      </c>
      <c r="H1019" s="20">
        <f t="shared" si="62"/>
        <v>169463.17941831722</v>
      </c>
      <c r="I1019" s="17">
        <f t="shared" si="63"/>
        <v>-262751.54881435586</v>
      </c>
    </row>
    <row r="1020" spans="1:9" x14ac:dyDescent="0.35">
      <c r="A1020" s="11">
        <v>14297.433393353069</v>
      </c>
      <c r="B1020" s="20">
        <f t="shared" si="60"/>
        <v>300000</v>
      </c>
      <c r="C1020" s="17">
        <f t="shared" si="61"/>
        <v>500820.33753471484</v>
      </c>
      <c r="G1020" s="11">
        <v>6474.6848963896609</v>
      </c>
      <c r="H1020" s="20">
        <f t="shared" si="62"/>
        <v>300000</v>
      </c>
      <c r="I1020" s="17">
        <f t="shared" si="63"/>
        <v>-46772.057252723724</v>
      </c>
    </row>
    <row r="1021" spans="1:9" x14ac:dyDescent="0.35">
      <c r="A1021" s="11">
        <v>16253.364665669729</v>
      </c>
      <c r="B1021" s="20">
        <f t="shared" si="60"/>
        <v>300000</v>
      </c>
      <c r="C1021" s="17">
        <f t="shared" si="61"/>
        <v>550000</v>
      </c>
      <c r="G1021" s="11">
        <v>7063.6921292764055</v>
      </c>
      <c r="H1021" s="20">
        <f t="shared" si="62"/>
        <v>300000</v>
      </c>
      <c r="I1021" s="17">
        <f t="shared" si="63"/>
        <v>-5541.5509506516391</v>
      </c>
    </row>
    <row r="1022" spans="1:9" x14ac:dyDescent="0.35">
      <c r="A1022" s="11">
        <v>12973.99822992645</v>
      </c>
      <c r="B1022" s="20">
        <f t="shared" si="60"/>
        <v>300000</v>
      </c>
      <c r="C1022" s="17">
        <f t="shared" si="61"/>
        <v>408179.87609485153</v>
      </c>
      <c r="G1022" s="11">
        <v>6100.0701925717949</v>
      </c>
      <c r="H1022" s="20">
        <f t="shared" si="62"/>
        <v>300000</v>
      </c>
      <c r="I1022" s="17">
        <f t="shared" si="63"/>
        <v>-72995.086519974342</v>
      </c>
    </row>
    <row r="1023" spans="1:9" x14ac:dyDescent="0.35">
      <c r="A1023" s="11">
        <v>15365.886410107731</v>
      </c>
      <c r="B1023" s="20">
        <f t="shared" si="60"/>
        <v>300000</v>
      </c>
      <c r="C1023" s="17">
        <f t="shared" si="61"/>
        <v>550000</v>
      </c>
      <c r="G1023" s="11">
        <v>3062.8681295205542</v>
      </c>
      <c r="H1023" s="20">
        <f t="shared" si="62"/>
        <v>153143.40647602771</v>
      </c>
      <c r="I1023" s="17">
        <f t="shared" si="63"/>
        <v>-285599.23093356122</v>
      </c>
    </row>
    <row r="1024" spans="1:9" x14ac:dyDescent="0.35">
      <c r="A1024" s="11">
        <v>12068.361461226234</v>
      </c>
      <c r="B1024" s="20">
        <f t="shared" si="60"/>
        <v>300000</v>
      </c>
      <c r="C1024" s="17">
        <f t="shared" si="61"/>
        <v>344785.30228583631</v>
      </c>
      <c r="G1024" s="11">
        <v>3012.5125888851589</v>
      </c>
      <c r="H1024" s="20">
        <f t="shared" si="62"/>
        <v>150625.62944425794</v>
      </c>
      <c r="I1024" s="17">
        <f t="shared" si="63"/>
        <v>-289124.11877803889</v>
      </c>
    </row>
    <row r="1025" spans="1:9" x14ac:dyDescent="0.35">
      <c r="A1025" s="11">
        <v>13205.175939207129</v>
      </c>
      <c r="B1025" s="20">
        <f t="shared" si="60"/>
        <v>300000</v>
      </c>
      <c r="C1025" s="17">
        <f t="shared" si="61"/>
        <v>424362.31574449898</v>
      </c>
      <c r="G1025" s="11">
        <v>3985.9004486220892</v>
      </c>
      <c r="H1025" s="20">
        <f t="shared" si="62"/>
        <v>199295.02243110447</v>
      </c>
      <c r="I1025" s="17">
        <f t="shared" si="63"/>
        <v>-220986.96859645378</v>
      </c>
    </row>
    <row r="1026" spans="1:9" x14ac:dyDescent="0.35">
      <c r="A1026" s="11">
        <v>14926.114688558611</v>
      </c>
      <c r="B1026" s="20">
        <f t="shared" si="60"/>
        <v>300000</v>
      </c>
      <c r="C1026" s="17">
        <f t="shared" si="61"/>
        <v>544828.02819910285</v>
      </c>
      <c r="G1026" s="11">
        <v>6087.0998260444958</v>
      </c>
      <c r="H1026" s="20">
        <f t="shared" si="62"/>
        <v>300000</v>
      </c>
      <c r="I1026" s="17">
        <f t="shared" si="63"/>
        <v>-73903.01217688527</v>
      </c>
    </row>
    <row r="1027" spans="1:9" x14ac:dyDescent="0.35">
      <c r="A1027" s="11">
        <v>15275.704214606159</v>
      </c>
      <c r="B1027" s="20">
        <f t="shared" si="60"/>
        <v>300000</v>
      </c>
      <c r="C1027" s="17">
        <f t="shared" si="61"/>
        <v>550000</v>
      </c>
      <c r="G1027" s="11">
        <v>4756.6454054383985</v>
      </c>
      <c r="H1027" s="20">
        <f t="shared" si="62"/>
        <v>237832.27027191993</v>
      </c>
      <c r="I1027" s="17">
        <f t="shared" si="63"/>
        <v>-167034.8216193121</v>
      </c>
    </row>
    <row r="1028" spans="1:9" x14ac:dyDescent="0.35">
      <c r="A1028" s="11">
        <v>12473.189489425336</v>
      </c>
      <c r="B1028" s="20">
        <f t="shared" si="60"/>
        <v>300000</v>
      </c>
      <c r="C1028" s="17">
        <f t="shared" si="61"/>
        <v>373123.26425977354</v>
      </c>
      <c r="G1028" s="11">
        <v>6219.7027497177041</v>
      </c>
      <c r="H1028" s="20">
        <f t="shared" si="62"/>
        <v>300000</v>
      </c>
      <c r="I1028" s="17">
        <f t="shared" si="63"/>
        <v>-64620.807519760681</v>
      </c>
    </row>
    <row r="1029" spans="1:9" x14ac:dyDescent="0.35">
      <c r="A1029" s="11">
        <v>14292.703024384289</v>
      </c>
      <c r="B1029" s="20">
        <f t="shared" si="60"/>
        <v>300000</v>
      </c>
      <c r="C1029" s="17">
        <f t="shared" si="61"/>
        <v>500489.21170690027</v>
      </c>
      <c r="G1029" s="11">
        <v>4744.5905941953797</v>
      </c>
      <c r="H1029" s="20">
        <f t="shared" si="62"/>
        <v>237229.52970976898</v>
      </c>
      <c r="I1029" s="17">
        <f t="shared" si="63"/>
        <v>-167878.6584063234</v>
      </c>
    </row>
    <row r="1030" spans="1:9" x14ac:dyDescent="0.35">
      <c r="A1030" s="11">
        <v>16642.017883846554</v>
      </c>
      <c r="B1030" s="20">
        <f t="shared" si="60"/>
        <v>300000</v>
      </c>
      <c r="C1030" s="17">
        <f t="shared" si="61"/>
        <v>550000</v>
      </c>
      <c r="G1030" s="11">
        <v>6938.5662404248178</v>
      </c>
      <c r="H1030" s="20">
        <f t="shared" si="62"/>
        <v>300000</v>
      </c>
      <c r="I1030" s="17">
        <f t="shared" si="63"/>
        <v>-14300.363170262775</v>
      </c>
    </row>
    <row r="1031" spans="1:9" x14ac:dyDescent="0.35">
      <c r="A1031" s="11">
        <v>14538.224433118687</v>
      </c>
      <c r="B1031" s="20">
        <f t="shared" si="60"/>
        <v>300000</v>
      </c>
      <c r="C1031" s="17">
        <f t="shared" si="61"/>
        <v>517675.71031830809</v>
      </c>
      <c r="G1031" s="11">
        <v>5016.5105136265138</v>
      </c>
      <c r="H1031" s="20">
        <f t="shared" si="62"/>
        <v>250825.5256813257</v>
      </c>
      <c r="I1031" s="17">
        <f t="shared" si="63"/>
        <v>-148844.26404614403</v>
      </c>
    </row>
    <row r="1032" spans="1:9" x14ac:dyDescent="0.35">
      <c r="A1032" s="11">
        <v>13417.432172612689</v>
      </c>
      <c r="B1032" s="20">
        <f t="shared" si="60"/>
        <v>300000</v>
      </c>
      <c r="C1032" s="17">
        <f t="shared" si="61"/>
        <v>439220.25208288827</v>
      </c>
      <c r="G1032" s="11">
        <v>5404.7059541611989</v>
      </c>
      <c r="H1032" s="20">
        <f t="shared" si="62"/>
        <v>270235.29770805995</v>
      </c>
      <c r="I1032" s="17">
        <f t="shared" si="63"/>
        <v>-121670.58320871607</v>
      </c>
    </row>
  </sheetData>
  <mergeCells count="2">
    <mergeCell ref="A31:C31"/>
    <mergeCell ref="G31:I3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Rakshitha K V</cp:lastModifiedBy>
  <dcterms:created xsi:type="dcterms:W3CDTF">2023-07-06T15:55:08Z</dcterms:created>
  <dcterms:modified xsi:type="dcterms:W3CDTF">2026-03-08T06:09:38Z</dcterms:modified>
</cp:coreProperties>
</file>