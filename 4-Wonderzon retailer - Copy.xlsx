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ha K V\Downloads\"/>
    </mc:Choice>
  </mc:AlternateContent>
  <xr:revisionPtr revIDLastSave="0" documentId="13_ncr:1_{25C4D707-D4CC-451F-A4EC-BE45932E5FAB}" xr6:coauthVersionLast="47" xr6:coauthVersionMax="47" xr10:uidLastSave="{00000000-0000-0000-0000-000000000000}"/>
  <bookViews>
    <workbookView xWindow="-110" yWindow="-110" windowWidth="19420" windowHeight="10300" xr2:uid="{6A3FD4C8-FBB0-41E8-92D8-76075D638D0D}"/>
  </bookViews>
  <sheets>
    <sheet name="Sheet1" sheetId="1" r:id="rId1"/>
  </sheets>
  <definedNames>
    <definedName name="solver_adj" localSheetId="0" hidden="1">Sheet1!$H$72:$H$77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Sheet1!$E$80</definedName>
    <definedName name="solver_lhs2" localSheetId="0" hidden="1">Sheet1!$E$81</definedName>
    <definedName name="solver_lhs3" localSheetId="0" hidden="1">Sheet1!$E$84</definedName>
    <definedName name="solver_lhs4" localSheetId="0" hidden="1">Sheet1!$E$85</definedName>
    <definedName name="solver_lhs5" localSheetId="0" hidden="1">Sheet1!$E$86</definedName>
    <definedName name="solver_lhs6" localSheetId="0" hidden="1">Sheet1!$H$45:$H$50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Sheet1!$I$79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4</definedName>
    <definedName name="solver_rhs1" localSheetId="0" hidden="1">25</definedName>
    <definedName name="solver_rhs2" localSheetId="0" hidden="1">50</definedName>
    <definedName name="solver_rhs3" localSheetId="0" hidden="1">20</definedName>
    <definedName name="solver_rhs4" localSheetId="0" hidden="1">25</definedName>
    <definedName name="solver_rhs5" localSheetId="0" hidden="1">15</definedName>
    <definedName name="solver_rhs6" localSheetId="0" hidden="1">"integer"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9000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1" l="1"/>
  <c r="E85" i="1"/>
  <c r="E86" i="1"/>
  <c r="E80" i="1"/>
  <c r="E81" i="1"/>
  <c r="I52" i="1"/>
  <c r="I72" i="1"/>
  <c r="I77" i="1"/>
  <c r="I76" i="1"/>
  <c r="I75" i="1"/>
  <c r="I74" i="1"/>
  <c r="I73" i="1"/>
  <c r="E54" i="1"/>
  <c r="E60" i="1"/>
  <c r="E59" i="1"/>
  <c r="E58" i="1"/>
  <c r="E55" i="1"/>
  <c r="E18" i="1"/>
  <c r="I50" i="1"/>
  <c r="I49" i="1"/>
  <c r="I48" i="1"/>
  <c r="I47" i="1"/>
  <c r="I46" i="1"/>
  <c r="I45" i="1"/>
  <c r="E24" i="1"/>
  <c r="E23" i="1"/>
  <c r="E22" i="1"/>
  <c r="E19" i="1"/>
  <c r="I14" i="1"/>
  <c r="I13" i="1"/>
  <c r="I12" i="1"/>
  <c r="I11" i="1"/>
  <c r="I10" i="1"/>
  <c r="I9" i="1"/>
  <c r="I79" i="1" l="1"/>
  <c r="I16" i="1"/>
</calcChain>
</file>

<file path=xl/sharedStrings.xml><?xml version="1.0" encoding="utf-8"?>
<sst xmlns="http://schemas.openxmlformats.org/spreadsheetml/2006/main" count="131" uniqueCount="44">
  <si>
    <t>Find how many quantities from Gurgoan and mumbai has to be delivered to delivery centers with a minimum quantity by minimizing the logistics cost</t>
  </si>
  <si>
    <t xml:space="preserve">Warehouse </t>
  </si>
  <si>
    <t>Shipment quantity</t>
  </si>
  <si>
    <t>Gurgoan</t>
  </si>
  <si>
    <t>Mumbai</t>
  </si>
  <si>
    <t xml:space="preserve">Delivery centers </t>
  </si>
  <si>
    <t>Minimum quantity</t>
  </si>
  <si>
    <t xml:space="preserve">Bangalore </t>
  </si>
  <si>
    <t xml:space="preserve">Hyderabad </t>
  </si>
  <si>
    <t>Chennai</t>
  </si>
  <si>
    <t>Delivery centers</t>
  </si>
  <si>
    <t>Warehouse</t>
  </si>
  <si>
    <t>From/to</t>
  </si>
  <si>
    <t>Bengaluru</t>
  </si>
  <si>
    <t>Hyderabad</t>
  </si>
  <si>
    <t>Route:</t>
  </si>
  <si>
    <t>Quantity</t>
  </si>
  <si>
    <t>Cost</t>
  </si>
  <si>
    <t>Problem statement:</t>
  </si>
  <si>
    <t>Column1</t>
  </si>
  <si>
    <t>Shipment charge:</t>
  </si>
  <si>
    <t>Total Cost=</t>
  </si>
  <si>
    <t>Gurgoan shipping</t>
  </si>
  <si>
    <t>Mumbai shipping</t>
  </si>
  <si>
    <t>Bangalore received</t>
  </si>
  <si>
    <t>Hyderabad received</t>
  </si>
  <si>
    <t>Chennai received</t>
  </si>
  <si>
    <t>2) If Cost 8000, How many products can you deliver to different delivery centers?</t>
  </si>
  <si>
    <t>Objective:</t>
  </si>
  <si>
    <t>Changing variables:</t>
  </si>
  <si>
    <t>Constraints:</t>
  </si>
  <si>
    <t>Minimize the logistic cost</t>
  </si>
  <si>
    <t>bang received&gt;=20</t>
  </si>
  <si>
    <t>chen rec &gt;= 15</t>
  </si>
  <si>
    <t>Hyd rec &gt;=25</t>
  </si>
  <si>
    <t>Gurgoan =25</t>
  </si>
  <si>
    <t>Mumbai=50</t>
  </si>
  <si>
    <t>G-&gt;B</t>
  </si>
  <si>
    <t>G-&gt;H</t>
  </si>
  <si>
    <t>G-&gt;C</t>
  </si>
  <si>
    <t>M-&gt;B</t>
  </si>
  <si>
    <t>M-&gt;H</t>
  </si>
  <si>
    <t>M-&gt;C</t>
  </si>
  <si>
    <t>3) If Cost 9000, How many products can you deliver to different delivery centers?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</si>
</sst>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1" fontId="0" fillId="0" borderId="0" xfId="0" applyNumberFormat="1"/>
    <xf numFmtId="0" fontId="0" fillId="2" borderId="0" xfId="0" applyFill="1"/>
    <xf numFmtId="1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top"/>
    </xf>
    <xf numFmtId="1" fontId="1" fillId="4" borderId="0" xfId="0" applyNumberFormat="1" applyFont="1" applyFill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4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24539E-EA97-4364-A5AA-CFA582982AF8}" name="Table1" displayName="Table1" ref="D4:E6" totalsRowShown="0" headerRowDxfId="44" dataDxfId="43">
  <autoFilter ref="D4:E6" xr:uid="{2324539E-EA97-4364-A5AA-CFA582982AF8}"/>
  <tableColumns count="2">
    <tableColumn id="1" xr3:uid="{4E8C473F-709C-4E9F-A82E-F12D84131CC1}" name="Warehouse " dataDxfId="42"/>
    <tableColumn id="2" xr3:uid="{8BA6FABD-65E8-4BD2-AF9A-A8B80356EBE9}" name="Shipment quantity" dataDxfId="4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F4BAF5-49DB-456D-9D06-137EEDC16BDD}" name="Table2" displayName="Table2" ref="A4:B7" totalsRowShown="0" headerRowDxfId="40" dataDxfId="39">
  <autoFilter ref="A4:B7" xr:uid="{0FF4BAF5-49DB-456D-9D06-137EEDC16BDD}"/>
  <tableColumns count="2">
    <tableColumn id="1" xr3:uid="{075F5604-D0EA-4E96-8E9B-F6D4469B4596}" name="Delivery centers " dataDxfId="38"/>
    <tableColumn id="2" xr3:uid="{27A95000-F9A1-4AF3-815C-DAC745BBD81F}" name="Minimum quantity" dataDxfId="37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82266A-F80E-4614-9A08-BE87718CA172}" name="Table4" displayName="Table4" ref="A12:E14" totalsRowShown="0" headerRowDxfId="36" dataDxfId="35">
  <autoFilter ref="A12:E14" xr:uid="{E982266A-F80E-4614-9A08-BE87718CA172}"/>
  <tableColumns count="5">
    <tableColumn id="1" xr3:uid="{705EF105-658A-43F8-B0A3-6085256F1E05}" name="Column1" dataDxfId="34"/>
    <tableColumn id="2" xr3:uid="{98AB4BAF-C45B-44B8-9D7E-39AF8FCEB122}" name="From/to" dataDxfId="33"/>
    <tableColumn id="3" xr3:uid="{6014F40B-FE6D-46E3-8491-8FD5089A20CF}" name="Bengaluru" dataDxfId="32"/>
    <tableColumn id="4" xr3:uid="{A440B2B5-0D87-4980-93EB-82E474AFE884}" name="Hyderabad" dataDxfId="31"/>
    <tableColumn id="5" xr3:uid="{B3E60F8D-E952-4CB9-AB07-156AD8566DDF}" name="Chennai" dataDxfId="30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D02A6D-AAEE-4A8C-8AB7-531B0C1F60F6}" name="Table18" displayName="Table18" ref="D40:E42" totalsRowShown="0" headerRowDxfId="29" dataDxfId="28">
  <autoFilter ref="D40:E42" xr:uid="{FED02A6D-AAEE-4A8C-8AB7-531B0C1F60F6}"/>
  <tableColumns count="2">
    <tableColumn id="1" xr3:uid="{48366E63-05EE-4F65-BE5A-3E84EFE549A3}" name="Warehouse " dataDxfId="27"/>
    <tableColumn id="2" xr3:uid="{2322E91E-F2FA-4844-A910-FF6562D3F8AE}" name="Shipment quantity" dataDxfId="26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0A2210-492A-4687-92D4-1F24EA69A181}" name="Table29" displayName="Table29" ref="A40:B43" totalsRowShown="0" headerRowDxfId="25" dataDxfId="24">
  <autoFilter ref="A40:B43" xr:uid="{F60A2210-492A-4687-92D4-1F24EA69A181}"/>
  <tableColumns count="2">
    <tableColumn id="1" xr3:uid="{906636CB-2112-483A-AECE-58963D35029C}" name="Delivery centers " dataDxfId="23"/>
    <tableColumn id="2" xr3:uid="{C51C83D5-E04A-430D-AFFF-5E27CBF54C8E}" name="Minimum quantity" dataDxfId="22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D6BE33-13C2-41C1-9617-735DEA1742F5}" name="Table410" displayName="Table410" ref="A48:E50" totalsRowShown="0" headerRowDxfId="21" dataDxfId="20">
  <autoFilter ref="A48:E50" xr:uid="{CCD6BE33-13C2-41C1-9617-735DEA1742F5}"/>
  <tableColumns count="5">
    <tableColumn id="1" xr3:uid="{BC63CC3B-9814-45FA-BABC-15E5CB2E8190}" name="Column1" dataDxfId="19"/>
    <tableColumn id="2" xr3:uid="{F283D031-6263-42B9-AA24-8985FD8CA411}" name="From/to" dataDxfId="18"/>
    <tableColumn id="3" xr3:uid="{04819ACC-79F6-48B1-BA36-B23E6EC449B2}" name="Bengaluru" dataDxfId="17"/>
    <tableColumn id="4" xr3:uid="{B065F45A-DE7B-4373-A902-3ECC75A0D912}" name="Hyderabad" dataDxfId="16"/>
    <tableColumn id="5" xr3:uid="{73EF6FF8-BB9E-43CF-BA35-B3887201353D}" name="Chennai" dataDxfId="15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D44A52-3EB0-4E87-8EFB-780C90870897}" name="Table184" displayName="Table184" ref="D66:E68" totalsRowShown="0" headerRowDxfId="14" dataDxfId="13">
  <autoFilter ref="D66:E68" xr:uid="{1ED44A52-3EB0-4E87-8EFB-780C90870897}"/>
  <tableColumns count="2">
    <tableColumn id="1" xr3:uid="{7C7C2057-1BEB-41AE-8A9C-924207EE8690}" name="Warehouse " dataDxfId="12"/>
    <tableColumn id="2" xr3:uid="{823CD4BE-4F03-4866-95B1-C4ACF80C5AE5}" name="Shipment quantity" dataDxfId="11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18B589-515B-4813-865D-D975432B60B4}" name="Table296" displayName="Table296" ref="A66:B69" totalsRowShown="0" headerRowDxfId="10" dataDxfId="9">
  <autoFilter ref="A66:B69" xr:uid="{7F18B589-515B-4813-865D-D975432B60B4}"/>
  <tableColumns count="2">
    <tableColumn id="1" xr3:uid="{CB116092-DF0D-4834-95B4-0B15F8A717B2}" name="Delivery centers " dataDxfId="8"/>
    <tableColumn id="2" xr3:uid="{1389D73C-40BF-46B3-A5BD-54F225308FD3}" name="Minimum quantity" dataDxfId="7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D8C7A9-0076-46B9-8B0C-9FE44FFD97DB}" name="Table4107" displayName="Table4107" ref="A74:E76" totalsRowShown="0" headerRowDxfId="6" dataDxfId="5">
  <autoFilter ref="A74:E76" xr:uid="{F6D8C7A9-0076-46B9-8B0C-9FE44FFD97DB}"/>
  <tableColumns count="5">
    <tableColumn id="1" xr3:uid="{6E2D4059-4BC7-4045-8EA7-8F8A0C5ED7B5}" name="Column1" dataDxfId="4"/>
    <tableColumn id="2" xr3:uid="{34439E14-FC11-4FDF-B5C4-3AF244BC4F65}" name="From/to" dataDxfId="3"/>
    <tableColumn id="3" xr3:uid="{1F34FDA0-AE9C-49F6-A3C7-BC9938B37EC2}" name="Bengaluru" dataDxfId="2"/>
    <tableColumn id="4" xr3:uid="{80A6B7DF-19FA-4010-A5CF-5251241D85A4}" name="Hyderabad" dataDxfId="1"/>
    <tableColumn id="5" xr3:uid="{11EDBD7C-8F20-4AC5-9BBE-41054D42EB44}" name="Chennai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FDEC-2058-44DA-9DC2-CBE9C156BBC2}">
  <dimension ref="A1:I86"/>
  <sheetViews>
    <sheetView tabSelected="1" topLeftCell="A65" zoomScale="62" workbookViewId="0">
      <selection activeCell="L87" sqref="L87"/>
    </sheetView>
  </sheetViews>
  <sheetFormatPr defaultColWidth="8.7265625" defaultRowHeight="14.5" x14ac:dyDescent="0.35"/>
  <cols>
    <col min="1" max="1" width="18.26953125" style="1" customWidth="1"/>
    <col min="2" max="2" width="19.453125" style="1" customWidth="1"/>
    <col min="3" max="3" width="17.26953125" style="1" customWidth="1"/>
    <col min="4" max="4" width="18" style="1" customWidth="1"/>
    <col min="5" max="5" width="18.7265625" style="1" customWidth="1"/>
    <col min="6" max="6" width="8.7265625" style="1"/>
    <col min="7" max="7" width="13" style="1" customWidth="1"/>
    <col min="8" max="8" width="11.453125" style="1" customWidth="1"/>
    <col min="9" max="16384" width="8.7265625" style="1"/>
  </cols>
  <sheetData>
    <row r="1" spans="1:9" ht="18.5" x14ac:dyDescent="0.35">
      <c r="A1" s="4" t="s">
        <v>18</v>
      </c>
    </row>
    <row r="2" spans="1:9" x14ac:dyDescent="0.35">
      <c r="A2" s="3" t="s">
        <v>0</v>
      </c>
    </row>
    <row r="4" spans="1:9" x14ac:dyDescent="0.35">
      <c r="A4" s="1" t="s">
        <v>5</v>
      </c>
      <c r="B4" s="1" t="s">
        <v>6</v>
      </c>
      <c r="D4" s="1" t="s">
        <v>1</v>
      </c>
      <c r="E4" s="1" t="s">
        <v>2</v>
      </c>
    </row>
    <row r="5" spans="1:9" x14ac:dyDescent="0.35">
      <c r="A5" s="1" t="s">
        <v>7</v>
      </c>
      <c r="B5" s="1">
        <v>20</v>
      </c>
      <c r="D5" s="1" t="s">
        <v>3</v>
      </c>
      <c r="E5" s="1">
        <v>25</v>
      </c>
    </row>
    <row r="6" spans="1:9" x14ac:dyDescent="0.35">
      <c r="A6" s="1" t="s">
        <v>8</v>
      </c>
      <c r="B6" s="1">
        <v>25</v>
      </c>
      <c r="D6" s="1" t="s">
        <v>4</v>
      </c>
      <c r="E6" s="1">
        <v>50</v>
      </c>
    </row>
    <row r="7" spans="1:9" x14ac:dyDescent="0.35">
      <c r="A7" s="1" t="s">
        <v>9</v>
      </c>
      <c r="B7" s="1">
        <v>15</v>
      </c>
    </row>
    <row r="8" spans="1:9" x14ac:dyDescent="0.35">
      <c r="G8" s="1" t="s">
        <v>15</v>
      </c>
      <c r="H8" s="1" t="s">
        <v>16</v>
      </c>
      <c r="I8" s="1" t="s">
        <v>17</v>
      </c>
    </row>
    <row r="9" spans="1:9" x14ac:dyDescent="0.35">
      <c r="A9" s="5" t="s">
        <v>20</v>
      </c>
      <c r="G9" s="7" t="s">
        <v>37</v>
      </c>
      <c r="H9" s="6">
        <v>10.000000000000004</v>
      </c>
      <c r="I9" s="6">
        <f>H9*C13</f>
        <v>1160.0000000000005</v>
      </c>
    </row>
    <row r="10" spans="1:9" x14ac:dyDescent="0.35">
      <c r="A10" s="2"/>
      <c r="G10" s="7" t="s">
        <v>38</v>
      </c>
      <c r="H10">
        <v>0</v>
      </c>
      <c r="I10">
        <f>H10*D13</f>
        <v>0</v>
      </c>
    </row>
    <row r="11" spans="1:9" x14ac:dyDescent="0.35">
      <c r="D11" s="2" t="s">
        <v>10</v>
      </c>
      <c r="G11" s="7" t="s">
        <v>39</v>
      </c>
      <c r="H11">
        <v>14.999999999999998</v>
      </c>
      <c r="I11">
        <f>H11*E13</f>
        <v>1724.9999999999998</v>
      </c>
    </row>
    <row r="12" spans="1:9" x14ac:dyDescent="0.35">
      <c r="A12" s="1" t="s">
        <v>19</v>
      </c>
      <c r="B12" s="1" t="s">
        <v>12</v>
      </c>
      <c r="C12" s="1" t="s">
        <v>13</v>
      </c>
      <c r="D12" s="1" t="s">
        <v>14</v>
      </c>
      <c r="E12" s="1" t="s">
        <v>9</v>
      </c>
      <c r="G12" s="7" t="s">
        <v>40</v>
      </c>
      <c r="H12" s="6">
        <v>10.000000023282952</v>
      </c>
      <c r="I12" s="6">
        <f>H12*C14</f>
        <v>1100.0000025611248</v>
      </c>
    </row>
    <row r="13" spans="1:9" x14ac:dyDescent="0.35">
      <c r="B13" s="1" t="s">
        <v>3</v>
      </c>
      <c r="C13" s="1">
        <v>116</v>
      </c>
      <c r="D13" s="1">
        <v>106</v>
      </c>
      <c r="E13" s="1">
        <v>115</v>
      </c>
      <c r="G13" s="7" t="s">
        <v>41</v>
      </c>
      <c r="H13" s="6">
        <v>40.000000473422404</v>
      </c>
      <c r="I13" s="6">
        <f>H13*D14</f>
        <v>3800.0000449751283</v>
      </c>
    </row>
    <row r="14" spans="1:9" x14ac:dyDescent="0.35">
      <c r="A14" s="1" t="s">
        <v>11</v>
      </c>
      <c r="B14" s="1" t="s">
        <v>4</v>
      </c>
      <c r="C14" s="1">
        <v>110</v>
      </c>
      <c r="D14" s="1">
        <v>95</v>
      </c>
      <c r="E14" s="1">
        <v>112</v>
      </c>
      <c r="G14" s="7" t="s">
        <v>42</v>
      </c>
      <c r="H14" s="6">
        <v>0</v>
      </c>
      <c r="I14">
        <f>H14*112</f>
        <v>0</v>
      </c>
    </row>
    <row r="16" spans="1:9" x14ac:dyDescent="0.35">
      <c r="H16" s="9" t="s">
        <v>21</v>
      </c>
      <c r="I16" s="10">
        <f>SUM(I9:I14)</f>
        <v>7785.0000475362531</v>
      </c>
    </row>
    <row r="18" spans="1:5" x14ac:dyDescent="0.35">
      <c r="A18" t="s">
        <v>22</v>
      </c>
      <c r="B18" s="6">
        <v>25</v>
      </c>
      <c r="C18" s="6"/>
      <c r="D18" s="15" t="s">
        <v>22</v>
      </c>
      <c r="E18" s="8">
        <f>SUM(H9:H11)</f>
        <v>25</v>
      </c>
    </row>
    <row r="19" spans="1:5" x14ac:dyDescent="0.35">
      <c r="A19" t="s">
        <v>23</v>
      </c>
      <c r="B19" s="6">
        <v>50</v>
      </c>
      <c r="C19" s="6"/>
      <c r="D19" s="15" t="s">
        <v>23</v>
      </c>
      <c r="E19" s="8">
        <f>SUM(H12:H14)</f>
        <v>50.000000496705354</v>
      </c>
    </row>
    <row r="20" spans="1:5" x14ac:dyDescent="0.35">
      <c r="A20"/>
      <c r="B20"/>
      <c r="C20"/>
      <c r="D20" s="15"/>
    </row>
    <row r="21" spans="1:5" x14ac:dyDescent="0.35">
      <c r="A21"/>
      <c r="B21"/>
      <c r="C21"/>
      <c r="D21" s="15"/>
    </row>
    <row r="22" spans="1:5" x14ac:dyDescent="0.35">
      <c r="A22" t="s">
        <v>24</v>
      </c>
      <c r="B22" s="6">
        <v>20</v>
      </c>
      <c r="C22"/>
      <c r="D22" s="15" t="s">
        <v>24</v>
      </c>
      <c r="E22" s="8">
        <f>SUM(H9,H12)</f>
        <v>20.000000023282958</v>
      </c>
    </row>
    <row r="23" spans="1:5" x14ac:dyDescent="0.35">
      <c r="A23" t="s">
        <v>25</v>
      </c>
      <c r="B23" s="6">
        <v>25</v>
      </c>
      <c r="C23" s="6"/>
      <c r="D23" s="15" t="s">
        <v>25</v>
      </c>
      <c r="E23" s="8">
        <f>SUM(H10,H13)</f>
        <v>40.000000473422404</v>
      </c>
    </row>
    <row r="24" spans="1:5" x14ac:dyDescent="0.35">
      <c r="A24" t="s">
        <v>26</v>
      </c>
      <c r="B24" s="6">
        <v>15</v>
      </c>
      <c r="C24"/>
      <c r="D24" s="15" t="s">
        <v>26</v>
      </c>
      <c r="E24" s="8">
        <f>SUM(H11,H14)</f>
        <v>14.999999999999998</v>
      </c>
    </row>
    <row r="27" spans="1:5" x14ac:dyDescent="0.35">
      <c r="A27" t="s">
        <v>28</v>
      </c>
      <c r="B27" s="14" t="s">
        <v>31</v>
      </c>
    </row>
    <row r="28" spans="1:5" x14ac:dyDescent="0.35">
      <c r="A28" t="s">
        <v>29</v>
      </c>
      <c r="B28" s="1" t="s">
        <v>16</v>
      </c>
    </row>
    <row r="29" spans="1:5" x14ac:dyDescent="0.35">
      <c r="A29" s="13" t="s">
        <v>30</v>
      </c>
    </row>
    <row r="30" spans="1:5" x14ac:dyDescent="0.35">
      <c r="A30" s="1" t="s">
        <v>32</v>
      </c>
      <c r="B30" s="1" t="s">
        <v>35</v>
      </c>
    </row>
    <row r="31" spans="1:5" x14ac:dyDescent="0.35">
      <c r="A31" s="1" t="s">
        <v>33</v>
      </c>
      <c r="B31" s="1" t="s">
        <v>36</v>
      </c>
    </row>
    <row r="32" spans="1:5" x14ac:dyDescent="0.35">
      <c r="A32" s="1" t="s">
        <v>34</v>
      </c>
    </row>
    <row r="37" spans="1:9" x14ac:dyDescent="0.35">
      <c r="A37" s="5" t="s">
        <v>27</v>
      </c>
    </row>
    <row r="38" spans="1:9" x14ac:dyDescent="0.35">
      <c r="A38" s="5"/>
      <c r="G38" s="11"/>
      <c r="H38" s="12"/>
      <c r="I38" s="11"/>
    </row>
    <row r="40" spans="1:9" x14ac:dyDescent="0.35">
      <c r="A40" s="1" t="s">
        <v>5</v>
      </c>
      <c r="B40" s="1" t="s">
        <v>6</v>
      </c>
      <c r="D40" s="1" t="s">
        <v>1</v>
      </c>
      <c r="E40" s="1" t="s">
        <v>2</v>
      </c>
    </row>
    <row r="41" spans="1:9" x14ac:dyDescent="0.35">
      <c r="A41" s="1" t="s">
        <v>7</v>
      </c>
      <c r="B41" s="1">
        <v>20</v>
      </c>
      <c r="D41" s="1" t="s">
        <v>3</v>
      </c>
      <c r="E41" s="1">
        <v>25</v>
      </c>
    </row>
    <row r="42" spans="1:9" x14ac:dyDescent="0.35">
      <c r="A42" s="1" t="s">
        <v>8</v>
      </c>
      <c r="B42" s="1">
        <v>25</v>
      </c>
      <c r="D42" s="1" t="s">
        <v>4</v>
      </c>
      <c r="E42" s="1">
        <v>50</v>
      </c>
    </row>
    <row r="43" spans="1:9" x14ac:dyDescent="0.35">
      <c r="A43" s="1" t="s">
        <v>9</v>
      </c>
      <c r="B43" s="1">
        <v>15</v>
      </c>
    </row>
    <row r="44" spans="1:9" x14ac:dyDescent="0.35">
      <c r="G44" s="1" t="s">
        <v>15</v>
      </c>
      <c r="H44" s="1" t="s">
        <v>16</v>
      </c>
      <c r="I44" s="1" t="s">
        <v>17</v>
      </c>
    </row>
    <row r="45" spans="1:9" x14ac:dyDescent="0.35">
      <c r="A45" s="5" t="s">
        <v>20</v>
      </c>
      <c r="G45" s="7" t="s">
        <v>37</v>
      </c>
      <c r="H45" s="6">
        <v>8.6977371572910855E-2</v>
      </c>
      <c r="I45" s="6">
        <f>H45*C49</f>
        <v>10.089375102457659</v>
      </c>
    </row>
    <row r="46" spans="1:9" x14ac:dyDescent="0.35">
      <c r="A46" s="2"/>
      <c r="G46" s="7" t="s">
        <v>38</v>
      </c>
      <c r="H46">
        <v>8.3632745987726895E-2</v>
      </c>
      <c r="I46">
        <f>H46*D49</f>
        <v>8.8650710746990509</v>
      </c>
    </row>
    <row r="47" spans="1:9" x14ac:dyDescent="0.35">
      <c r="D47" s="2" t="s">
        <v>10</v>
      </c>
      <c r="G47" s="7" t="s">
        <v>39</v>
      </c>
      <c r="H47">
        <v>24.824270109851877</v>
      </c>
      <c r="I47">
        <f>H47*E49</f>
        <v>2854.7910626329658</v>
      </c>
    </row>
    <row r="48" spans="1:9" x14ac:dyDescent="0.35">
      <c r="A48" s="1" t="s">
        <v>19</v>
      </c>
      <c r="B48" s="1" t="s">
        <v>12</v>
      </c>
      <c r="C48" s="1" t="s">
        <v>13</v>
      </c>
      <c r="D48" s="1" t="s">
        <v>14</v>
      </c>
      <c r="E48" s="1" t="s">
        <v>9</v>
      </c>
      <c r="G48" s="7" t="s">
        <v>40</v>
      </c>
      <c r="H48" s="6">
        <v>25.083632745987746</v>
      </c>
      <c r="I48" s="6">
        <f>H48*C50</f>
        <v>2759.1996020586521</v>
      </c>
    </row>
    <row r="49" spans="1:9" x14ac:dyDescent="0.35">
      <c r="B49" s="1" t="s">
        <v>3</v>
      </c>
      <c r="C49" s="1">
        <v>116</v>
      </c>
      <c r="D49" s="1">
        <v>106</v>
      </c>
      <c r="E49" s="1">
        <v>115</v>
      </c>
      <c r="G49" s="7" t="s">
        <v>41</v>
      </c>
      <c r="H49" s="6">
        <v>24.916367254012265</v>
      </c>
      <c r="I49" s="6">
        <f>H49*D50</f>
        <v>2367.0548891311651</v>
      </c>
    </row>
    <row r="50" spans="1:9" x14ac:dyDescent="0.35">
      <c r="A50" s="1" t="s">
        <v>11</v>
      </c>
      <c r="B50" s="1" t="s">
        <v>4</v>
      </c>
      <c r="C50" s="1">
        <v>110</v>
      </c>
      <c r="D50" s="1">
        <v>95</v>
      </c>
      <c r="E50" s="1">
        <v>112</v>
      </c>
      <c r="G50" s="7" t="s">
        <v>42</v>
      </c>
      <c r="H50" s="6">
        <v>0</v>
      </c>
      <c r="I50">
        <f>H50*Table410[[#This Row],[Chennai]]</f>
        <v>0</v>
      </c>
    </row>
    <row r="52" spans="1:9" x14ac:dyDescent="0.35">
      <c r="H52" s="9" t="s">
        <v>21</v>
      </c>
      <c r="I52" s="10">
        <f>SUM(I45:I50)</f>
        <v>7999.99999999994</v>
      </c>
    </row>
    <row r="54" spans="1:9" x14ac:dyDescent="0.35">
      <c r="A54" t="s">
        <v>22</v>
      </c>
      <c r="B54" s="6">
        <v>25</v>
      </c>
      <c r="C54" s="6"/>
      <c r="D54" s="15" t="s">
        <v>22</v>
      </c>
      <c r="E54" s="8">
        <f>SUM(H45:H47)</f>
        <v>24.994880227412516</v>
      </c>
    </row>
    <row r="55" spans="1:9" x14ac:dyDescent="0.35">
      <c r="A55" t="s">
        <v>23</v>
      </c>
      <c r="B55" s="6">
        <v>50</v>
      </c>
      <c r="C55" s="6"/>
      <c r="D55" s="15" t="s">
        <v>23</v>
      </c>
      <c r="E55" s="8">
        <f>SUM(H48:H50)</f>
        <v>50.000000000000014</v>
      </c>
    </row>
    <row r="56" spans="1:9" x14ac:dyDescent="0.35">
      <c r="A56"/>
      <c r="B56"/>
      <c r="C56"/>
      <c r="D56" s="15"/>
    </row>
    <row r="57" spans="1:9" x14ac:dyDescent="0.35">
      <c r="A57"/>
      <c r="B57"/>
      <c r="C57"/>
      <c r="D57" s="15"/>
    </row>
    <row r="58" spans="1:9" x14ac:dyDescent="0.35">
      <c r="A58" t="s">
        <v>24</v>
      </c>
      <c r="B58" s="6">
        <v>20</v>
      </c>
      <c r="C58"/>
      <c r="D58" s="15" t="s">
        <v>24</v>
      </c>
      <c r="E58" s="8">
        <f>SUM(H45,H48)</f>
        <v>25.170610117560656</v>
      </c>
    </row>
    <row r="59" spans="1:9" x14ac:dyDescent="0.35">
      <c r="A59" t="s">
        <v>25</v>
      </c>
      <c r="B59" s="6">
        <v>25</v>
      </c>
      <c r="C59" s="6"/>
      <c r="D59" s="15" t="s">
        <v>25</v>
      </c>
      <c r="E59" s="8">
        <f>SUM(H46,H49)</f>
        <v>24.999999999999993</v>
      </c>
    </row>
    <row r="60" spans="1:9" x14ac:dyDescent="0.35">
      <c r="A60" t="s">
        <v>26</v>
      </c>
      <c r="B60" s="6">
        <v>15</v>
      </c>
      <c r="C60"/>
      <c r="D60" s="15" t="s">
        <v>26</v>
      </c>
      <c r="E60" s="8">
        <f>SUM(H47,H50)</f>
        <v>24.824270109851877</v>
      </c>
    </row>
    <row r="63" spans="1:9" x14ac:dyDescent="0.35">
      <c r="A63" s="5" t="s">
        <v>43</v>
      </c>
    </row>
    <row r="66" spans="1:9" x14ac:dyDescent="0.35">
      <c r="A66" s="1" t="s">
        <v>5</v>
      </c>
      <c r="B66" s="1" t="s">
        <v>6</v>
      </c>
      <c r="D66" s="1" t="s">
        <v>1</v>
      </c>
      <c r="E66" s="1" t="s">
        <v>2</v>
      </c>
    </row>
    <row r="67" spans="1:9" x14ac:dyDescent="0.35">
      <c r="A67" s="1" t="s">
        <v>7</v>
      </c>
      <c r="B67" s="1">
        <v>20</v>
      </c>
      <c r="D67" s="1" t="s">
        <v>3</v>
      </c>
      <c r="E67" s="1">
        <v>25</v>
      </c>
    </row>
    <row r="68" spans="1:9" x14ac:dyDescent="0.35">
      <c r="A68" s="1" t="s">
        <v>8</v>
      </c>
      <c r="B68" s="1">
        <v>25</v>
      </c>
      <c r="D68" s="1" t="s">
        <v>4</v>
      </c>
      <c r="E68" s="1">
        <v>50</v>
      </c>
    </row>
    <row r="69" spans="1:9" x14ac:dyDescent="0.35">
      <c r="A69" s="1" t="s">
        <v>9</v>
      </c>
      <c r="B69" s="1">
        <v>15</v>
      </c>
    </row>
    <row r="71" spans="1:9" x14ac:dyDescent="0.35">
      <c r="A71" s="5" t="s">
        <v>20</v>
      </c>
      <c r="G71" s="1" t="s">
        <v>15</v>
      </c>
      <c r="H71" s="1" t="s">
        <v>16</v>
      </c>
      <c r="I71" s="1" t="s">
        <v>17</v>
      </c>
    </row>
    <row r="72" spans="1:9" x14ac:dyDescent="0.35">
      <c r="A72" s="2"/>
      <c r="G72" s="7" t="s">
        <v>37</v>
      </c>
      <c r="H72" s="1">
        <v>0</v>
      </c>
      <c r="I72" s="1">
        <f>H72*C75</f>
        <v>0</v>
      </c>
    </row>
    <row r="73" spans="1:9" x14ac:dyDescent="0.35">
      <c r="D73" s="2" t="s">
        <v>10</v>
      </c>
      <c r="G73" s="7" t="s">
        <v>38</v>
      </c>
      <c r="H73" s="1">
        <v>25</v>
      </c>
      <c r="I73" s="1">
        <f>H73*D75</f>
        <v>2650</v>
      </c>
    </row>
    <row r="74" spans="1:9" x14ac:dyDescent="0.35">
      <c r="A74" s="1" t="s">
        <v>19</v>
      </c>
      <c r="B74" s="1" t="s">
        <v>12</v>
      </c>
      <c r="C74" s="1" t="s">
        <v>13</v>
      </c>
      <c r="D74" s="1" t="s">
        <v>14</v>
      </c>
      <c r="E74" s="1" t="s">
        <v>9</v>
      </c>
      <c r="G74" s="7" t="s">
        <v>39</v>
      </c>
      <c r="H74" s="1">
        <v>0</v>
      </c>
      <c r="I74" s="1">
        <f>H74*E75</f>
        <v>0</v>
      </c>
    </row>
    <row r="75" spans="1:9" x14ac:dyDescent="0.35">
      <c r="B75" s="1" t="s">
        <v>3</v>
      </c>
      <c r="C75" s="1">
        <v>116</v>
      </c>
      <c r="D75" s="1">
        <v>106</v>
      </c>
      <c r="E75" s="1">
        <v>115</v>
      </c>
      <c r="G75" s="7" t="s">
        <v>40</v>
      </c>
      <c r="H75" s="1">
        <v>20</v>
      </c>
      <c r="I75" s="1">
        <f>H75*C76</f>
        <v>2200</v>
      </c>
    </row>
    <row r="76" spans="1:9" x14ac:dyDescent="0.35">
      <c r="A76" s="1" t="s">
        <v>11</v>
      </c>
      <c r="B76" s="1" t="s">
        <v>4</v>
      </c>
      <c r="C76" s="1">
        <v>110</v>
      </c>
      <c r="D76" s="1">
        <v>95</v>
      </c>
      <c r="E76" s="1">
        <v>112</v>
      </c>
      <c r="G76" s="7" t="s">
        <v>41</v>
      </c>
      <c r="H76" s="1">
        <v>0</v>
      </c>
      <c r="I76" s="1">
        <f>H76*Table4107[[#This Row],[Hyderabad]]</f>
        <v>0</v>
      </c>
    </row>
    <row r="77" spans="1:9" x14ac:dyDescent="0.35">
      <c r="G77" s="7" t="s">
        <v>42</v>
      </c>
      <c r="H77" s="1">
        <v>30</v>
      </c>
      <c r="I77" s="1">
        <f>H77*E76</f>
        <v>3360</v>
      </c>
    </row>
    <row r="79" spans="1:9" x14ac:dyDescent="0.35">
      <c r="H79" s="9" t="s">
        <v>21</v>
      </c>
      <c r="I79" s="8">
        <f>SUM(I72:I77)</f>
        <v>8210</v>
      </c>
    </row>
    <row r="80" spans="1:9" x14ac:dyDescent="0.35">
      <c r="A80" t="s">
        <v>22</v>
      </c>
      <c r="B80" s="6">
        <v>25</v>
      </c>
      <c r="C80" s="6"/>
      <c r="D80" s="15" t="s">
        <v>22</v>
      </c>
      <c r="E80" s="8">
        <f>SUM(H72:H74)</f>
        <v>25</v>
      </c>
    </row>
    <row r="81" spans="1:5" x14ac:dyDescent="0.35">
      <c r="A81" t="s">
        <v>23</v>
      </c>
      <c r="B81" s="6">
        <v>50</v>
      </c>
      <c r="C81" s="6"/>
      <c r="D81" s="15" t="s">
        <v>23</v>
      </c>
      <c r="E81" s="8">
        <f>SUM(H75:H77)</f>
        <v>50</v>
      </c>
    </row>
    <row r="82" spans="1:5" x14ac:dyDescent="0.35">
      <c r="A82"/>
      <c r="B82"/>
      <c r="C82"/>
      <c r="D82" s="15"/>
    </row>
    <row r="83" spans="1:5" x14ac:dyDescent="0.35">
      <c r="A83"/>
      <c r="B83"/>
      <c r="C83"/>
      <c r="D83" s="15"/>
    </row>
    <row r="84" spans="1:5" x14ac:dyDescent="0.35">
      <c r="A84" t="s">
        <v>24</v>
      </c>
      <c r="B84" s="6">
        <v>20</v>
      </c>
      <c r="C84"/>
      <c r="D84" s="15" t="s">
        <v>24</v>
      </c>
      <c r="E84" s="8">
        <f>SUM(H72,H75)</f>
        <v>20</v>
      </c>
    </row>
    <row r="85" spans="1:5" x14ac:dyDescent="0.35">
      <c r="A85" t="s">
        <v>25</v>
      </c>
      <c r="B85" s="6">
        <v>25</v>
      </c>
      <c r="C85" s="6"/>
      <c r="D85" s="15" t="s">
        <v>25</v>
      </c>
      <c r="E85" s="8">
        <f>SUM(H73,H76)</f>
        <v>25</v>
      </c>
    </row>
    <row r="86" spans="1:5" x14ac:dyDescent="0.35">
      <c r="A86" t="s">
        <v>26</v>
      </c>
      <c r="B86" s="6">
        <v>15</v>
      </c>
      <c r="C86"/>
      <c r="D86" s="15" t="s">
        <v>26</v>
      </c>
      <c r="E86" s="8">
        <f>SUM(H74,H77)</f>
        <v>30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Rakshitha K V</cp:lastModifiedBy>
  <dcterms:created xsi:type="dcterms:W3CDTF">2023-07-17T05:12:14Z</dcterms:created>
  <dcterms:modified xsi:type="dcterms:W3CDTF">2026-03-07T18:07:37Z</dcterms:modified>
</cp:coreProperties>
</file>