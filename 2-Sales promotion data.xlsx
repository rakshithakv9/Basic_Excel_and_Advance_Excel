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akshitha K V\Downloads\"/>
    </mc:Choice>
  </mc:AlternateContent>
  <xr:revisionPtr revIDLastSave="0" documentId="13_ncr:1_{DE47F8DA-E7ED-424B-96A8-68286ECC24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 Prediction" sheetId="1" r:id="rId1"/>
  </sheets>
  <definedNames>
    <definedName name="solver_adj" localSheetId="0" hidden="1">'Sales Prediction'!$N$31:$N$32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'Sales Prediction'!$N$32</definedName>
    <definedName name="solver_lhs2" localSheetId="0" hidden="1">'Sales Prediction'!$N$32</definedName>
    <definedName name="solver_lhs3" localSheetId="0" hidden="1">'Sales Prediction'!$N$34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'Sales Prediction'!$N$33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3</definedName>
    <definedName name="solver_rhs1" localSheetId="0" hidden="1">10000</definedName>
    <definedName name="solver_rhs2" localSheetId="0" hidden="1">1000</definedName>
    <definedName name="solver_rhs3" localSheetId="0" hidden="1">4000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3" i="1" l="1"/>
  <c r="N34" i="1" s="1"/>
  <c r="K31" i="1"/>
  <c r="T10" i="1"/>
  <c r="R10" i="1"/>
  <c r="Q10" i="1"/>
  <c r="T9" i="1"/>
  <c r="R14" i="1"/>
  <c r="R13" i="1"/>
  <c r="R12" i="1"/>
  <c r="R9" i="1"/>
  <c r="Q9" i="1"/>
</calcChain>
</file>

<file path=xl/sharedStrings.xml><?xml version="1.0" encoding="utf-8"?>
<sst xmlns="http://schemas.openxmlformats.org/spreadsheetml/2006/main" count="62" uniqueCount="54">
  <si>
    <t>Sales Promotion Data</t>
  </si>
  <si>
    <t>Week</t>
  </si>
  <si>
    <t>Price</t>
  </si>
  <si>
    <t xml:space="preserve">Ads Budget </t>
  </si>
  <si>
    <t xml:space="preserve">1) Use the predictive analysis to find the relationship between price ,ads budget with Sales. </t>
  </si>
  <si>
    <t>2) what will be the sales if price is 20$ and Ads Budget is 1700?</t>
  </si>
  <si>
    <t>3) What will be the sales if price is 10$ and Ads Budget is 3500?</t>
  </si>
  <si>
    <t>Sales Quantity</t>
  </si>
  <si>
    <t>cost per unit=8</t>
  </si>
  <si>
    <t>Constraints:</t>
  </si>
  <si>
    <t>min profit 4000</t>
  </si>
  <si>
    <t>max budget 10000</t>
  </si>
  <si>
    <t>min budget 1000</t>
  </si>
  <si>
    <t>1)Find the optimum value for price and Ads Budget to maximize the sales.</t>
  </si>
  <si>
    <t>Task:</t>
  </si>
  <si>
    <t>2)Maximize the profit:</t>
  </si>
  <si>
    <t>constraints:- Ads Budget&lt;=1000</t>
  </si>
  <si>
    <t>3).Find the best values for price and Ads Budget in order to achieve profit of 100000</t>
  </si>
  <si>
    <t>Sales&lt;=5000</t>
  </si>
  <si>
    <t>Ads budget &gt;=10000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</si>
  <si>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</si>
  <si>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</si>
  <si>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</si>
  <si>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</si>
  <si>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</si>
  <si>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</si>
  <si>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</si>
  <si>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</si>
  <si>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</si>
  <si>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</si>
  <si>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</si>
  <si>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</si>
  <si>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</si>
  <si>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</si>
  <si>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</si>
  <si>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</si>
  <si>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</si>
  <si>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</si>
  <si>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</si>
  <si>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</si>
  <si>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</si>
  <si>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</si>
  <si>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</si>
  <si>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</si>
  <si>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y=m1x1+m2x2+c</t>
  </si>
  <si>
    <t>Ads Budget</t>
  </si>
  <si>
    <t>Sale Quantity</t>
  </si>
  <si>
    <t>m1</t>
  </si>
  <si>
    <t>m2</t>
  </si>
  <si>
    <t>c</t>
  </si>
  <si>
    <t>Cost Per Unit</t>
  </si>
  <si>
    <t>Sales</t>
  </si>
  <si>
    <t>Profit</t>
  </si>
  <si>
    <t>profit=(price-cost per unit)*sales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</si>
</sst>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5" fillId="0" borderId="3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52"/>
  <sheetViews>
    <sheetView tabSelected="1" topLeftCell="A18" zoomScale="69" workbookViewId="0">
      <selection activeCell="N35" sqref="N35"/>
    </sheetView>
  </sheetViews>
  <sheetFormatPr defaultRowHeight="14.5" x14ac:dyDescent="0.35"/>
  <cols>
    <col min="3" max="4" width="8.81640625" bestFit="1" customWidth="1"/>
    <col min="5" max="5" width="13.1796875" customWidth="1"/>
    <col min="8" max="8" width="8.7265625" customWidth="1"/>
    <col min="9" max="9" width="10.7265625" customWidth="1"/>
    <col min="10" max="10" width="12.1796875" customWidth="1"/>
    <col min="14" max="17" width="8.81640625" bestFit="1" customWidth="1"/>
    <col min="18" max="18" width="12.54296875" bestFit="1" customWidth="1"/>
  </cols>
  <sheetData>
    <row r="2" spans="2:20" x14ac:dyDescent="0.35">
      <c r="I2" s="6" t="s">
        <v>4</v>
      </c>
    </row>
    <row r="3" spans="2:20" x14ac:dyDescent="0.35">
      <c r="I3" s="6" t="s">
        <v>5</v>
      </c>
      <c r="J3" s="6"/>
      <c r="K3" s="6"/>
      <c r="L3" s="6"/>
      <c r="M3" s="6"/>
      <c r="N3" s="6"/>
      <c r="O3" s="6"/>
    </row>
    <row r="4" spans="2:20" ht="18.5" x14ac:dyDescent="0.35">
      <c r="B4" s="9" t="s">
        <v>0</v>
      </c>
      <c r="C4" s="9"/>
      <c r="D4" s="9"/>
      <c r="E4" s="9"/>
      <c r="I4" s="6" t="s">
        <v>6</v>
      </c>
      <c r="J4" s="6"/>
      <c r="K4" s="6"/>
      <c r="L4" s="6"/>
      <c r="M4" s="6"/>
      <c r="N4" s="6"/>
      <c r="O4" s="6"/>
    </row>
    <row r="5" spans="2:20" ht="29" x14ac:dyDescent="0.35">
      <c r="B5" s="1" t="s">
        <v>1</v>
      </c>
      <c r="C5" s="1" t="s">
        <v>2</v>
      </c>
      <c r="D5" s="2" t="s">
        <v>3</v>
      </c>
      <c r="E5" s="1" t="s">
        <v>7</v>
      </c>
    </row>
    <row r="6" spans="2:20" x14ac:dyDescent="0.35">
      <c r="B6" s="3">
        <v>1</v>
      </c>
      <c r="C6" s="4">
        <v>15</v>
      </c>
      <c r="D6" s="5">
        <v>1500</v>
      </c>
      <c r="E6" s="3">
        <v>1240</v>
      </c>
      <c r="I6" s="6"/>
    </row>
    <row r="7" spans="2:20" x14ac:dyDescent="0.35">
      <c r="B7" s="3">
        <v>2</v>
      </c>
      <c r="C7" s="4">
        <v>16.399999999999999</v>
      </c>
      <c r="D7" s="5">
        <v>4000</v>
      </c>
      <c r="E7" s="3">
        <v>950</v>
      </c>
      <c r="G7" t="s">
        <v>44</v>
      </c>
    </row>
    <row r="8" spans="2:20" x14ac:dyDescent="0.35">
      <c r="B8" s="3">
        <v>3</v>
      </c>
      <c r="C8" s="4">
        <v>13</v>
      </c>
      <c r="D8" s="5">
        <v>2000</v>
      </c>
      <c r="E8" s="3">
        <v>1580</v>
      </c>
      <c r="Q8" t="s">
        <v>2</v>
      </c>
      <c r="R8" t="s">
        <v>45</v>
      </c>
      <c r="T8" t="s">
        <v>46</v>
      </c>
    </row>
    <row r="9" spans="2:20" x14ac:dyDescent="0.35">
      <c r="B9" s="3">
        <v>4</v>
      </c>
      <c r="C9" s="4">
        <v>16.5</v>
      </c>
      <c r="D9" s="3">
        <v>3000</v>
      </c>
      <c r="E9" s="3">
        <v>1190</v>
      </c>
      <c r="F9" t="s">
        <v>20</v>
      </c>
      <c r="Q9">
        <f>20</f>
        <v>20</v>
      </c>
      <c r="R9">
        <f>1700</f>
        <v>1700</v>
      </c>
      <c r="T9">
        <f>R12*Q9+R13*R9+R14</f>
        <v>415.75167413472991</v>
      </c>
    </row>
    <row r="10" spans="2:20" ht="15" thickBot="1" x14ac:dyDescent="0.4">
      <c r="B10" s="3">
        <v>5</v>
      </c>
      <c r="C10" s="4">
        <v>12</v>
      </c>
      <c r="D10" s="3">
        <v>1000</v>
      </c>
      <c r="E10" s="3">
        <v>1430</v>
      </c>
      <c r="Q10">
        <f>10</f>
        <v>10</v>
      </c>
      <c r="R10">
        <f>3500</f>
        <v>3500</v>
      </c>
      <c r="T10">
        <f>R12*Q10+R13*R10+R14</f>
        <v>2025.2990554857611</v>
      </c>
    </row>
    <row r="11" spans="2:20" x14ac:dyDescent="0.35">
      <c r="B11" s="3">
        <v>6</v>
      </c>
      <c r="C11" s="4">
        <v>11</v>
      </c>
      <c r="D11" s="3">
        <v>1000</v>
      </c>
      <c r="E11" s="3">
        <v>1560</v>
      </c>
      <c r="F11" s="13" t="s">
        <v>21</v>
      </c>
      <c r="G11" s="13"/>
    </row>
    <row r="12" spans="2:20" x14ac:dyDescent="0.35">
      <c r="B12" s="3">
        <v>7</v>
      </c>
      <c r="C12" s="4">
        <v>14.3</v>
      </c>
      <c r="D12" s="3">
        <v>1000</v>
      </c>
      <c r="E12" s="3">
        <v>1060</v>
      </c>
      <c r="F12" s="10" t="s">
        <v>22</v>
      </c>
      <c r="G12" s="10">
        <v>0.93395024519117076</v>
      </c>
      <c r="Q12" t="s">
        <v>47</v>
      </c>
      <c r="R12">
        <f>G26</f>
        <v>-142.54844931549295</v>
      </c>
    </row>
    <row r="13" spans="2:20" x14ac:dyDescent="0.35">
      <c r="B13" s="3">
        <v>8</v>
      </c>
      <c r="C13" s="4">
        <v>18.2</v>
      </c>
      <c r="D13" s="5">
        <v>3465</v>
      </c>
      <c r="E13" s="3">
        <v>800</v>
      </c>
      <c r="F13" s="10" t="s">
        <v>23</v>
      </c>
      <c r="G13" s="10">
        <v>0.87226306049264801</v>
      </c>
      <c r="Q13" t="s">
        <v>48</v>
      </c>
      <c r="R13">
        <f>G27</f>
        <v>0.10225716010894527</v>
      </c>
    </row>
    <row r="14" spans="2:20" x14ac:dyDescent="0.35">
      <c r="B14" s="3">
        <v>9</v>
      </c>
      <c r="C14" s="4">
        <v>9.6</v>
      </c>
      <c r="D14" s="3">
        <v>1000</v>
      </c>
      <c r="E14" s="3">
        <v>1895</v>
      </c>
      <c r="F14" s="10" t="s">
        <v>24</v>
      </c>
      <c r="G14" s="10">
        <v>0.85097357057475609</v>
      </c>
      <c r="Q14" t="s">
        <v>49</v>
      </c>
      <c r="R14">
        <f>G25</f>
        <v>3092.8834882593819</v>
      </c>
    </row>
    <row r="15" spans="2:20" x14ac:dyDescent="0.35">
      <c r="B15" s="3">
        <v>10</v>
      </c>
      <c r="C15" s="4">
        <v>15.4</v>
      </c>
      <c r="D15" s="3">
        <v>4000</v>
      </c>
      <c r="E15" s="3">
        <v>1475</v>
      </c>
      <c r="F15" s="10" t="s">
        <v>25</v>
      </c>
      <c r="G15" s="10">
        <v>118.18238577758798</v>
      </c>
    </row>
    <row r="16" spans="2:20" ht="15" thickBot="1" x14ac:dyDescent="0.4">
      <c r="B16" s="3">
        <v>11</v>
      </c>
      <c r="C16" s="4">
        <v>12</v>
      </c>
      <c r="D16" s="5">
        <v>2000</v>
      </c>
      <c r="E16" s="3">
        <v>1560</v>
      </c>
      <c r="F16" s="11" t="s">
        <v>26</v>
      </c>
      <c r="G16" s="11">
        <v>15</v>
      </c>
    </row>
    <row r="17" spans="2:14" x14ac:dyDescent="0.35">
      <c r="B17" s="3">
        <v>12</v>
      </c>
      <c r="C17" s="4">
        <v>14</v>
      </c>
      <c r="D17" s="3">
        <v>1000</v>
      </c>
      <c r="E17" s="3">
        <v>1235</v>
      </c>
    </row>
    <row r="18" spans="2:14" ht="15" thickBot="1" x14ac:dyDescent="0.4">
      <c r="B18" s="3">
        <v>13</v>
      </c>
      <c r="C18" s="4">
        <v>16</v>
      </c>
      <c r="D18" s="3">
        <v>3000</v>
      </c>
      <c r="E18" s="3">
        <v>1065</v>
      </c>
      <c r="F18" t="s">
        <v>27</v>
      </c>
    </row>
    <row r="19" spans="2:14" x14ac:dyDescent="0.35">
      <c r="B19" s="3">
        <v>14</v>
      </c>
      <c r="C19" s="4">
        <v>15</v>
      </c>
      <c r="D19" s="3">
        <v>1000</v>
      </c>
      <c r="E19" s="3">
        <v>1025</v>
      </c>
      <c r="F19" s="12"/>
      <c r="G19" s="12" t="s">
        <v>32</v>
      </c>
      <c r="H19" s="12" t="s">
        <v>33</v>
      </c>
      <c r="I19" s="12" t="s">
        <v>34</v>
      </c>
      <c r="J19" s="12" t="s">
        <v>35</v>
      </c>
      <c r="K19" s="12" t="s">
        <v>36</v>
      </c>
    </row>
    <row r="20" spans="2:14" x14ac:dyDescent="0.35">
      <c r="B20" s="3">
        <v>15</v>
      </c>
      <c r="C20" s="4">
        <v>11</v>
      </c>
      <c r="D20" s="5">
        <v>2000</v>
      </c>
      <c r="E20" s="3">
        <v>1645</v>
      </c>
      <c r="F20" s="10" t="s">
        <v>28</v>
      </c>
      <c r="G20" s="10">
        <v>2</v>
      </c>
      <c r="H20" s="10">
        <v>1144505.0843030084</v>
      </c>
      <c r="I20" s="10">
        <v>572252.5421515042</v>
      </c>
      <c r="J20" s="10">
        <v>40.971534022503086</v>
      </c>
      <c r="K20" s="10">
        <v>4.3440922498509689E-6</v>
      </c>
    </row>
    <row r="21" spans="2:14" x14ac:dyDescent="0.35">
      <c r="F21" s="10" t="s">
        <v>29</v>
      </c>
      <c r="G21" s="10">
        <v>12</v>
      </c>
      <c r="H21" s="10">
        <v>167604.91569699155</v>
      </c>
      <c r="I21" s="10">
        <v>13967.076308082629</v>
      </c>
      <c r="J21" s="10"/>
      <c r="K21" s="10"/>
    </row>
    <row r="22" spans="2:14" ht="15" thickBot="1" x14ac:dyDescent="0.4">
      <c r="F22" s="11" t="s">
        <v>30</v>
      </c>
      <c r="G22" s="11">
        <v>14</v>
      </c>
      <c r="H22" s="11">
        <v>1312110</v>
      </c>
      <c r="I22" s="11"/>
      <c r="J22" s="11"/>
      <c r="K22" s="11"/>
    </row>
    <row r="23" spans="2:14" ht="15" thickBot="1" x14ac:dyDescent="0.4"/>
    <row r="24" spans="2:14" x14ac:dyDescent="0.35">
      <c r="F24" s="12"/>
      <c r="G24" s="12" t="s">
        <v>37</v>
      </c>
      <c r="H24" s="12" t="s">
        <v>25</v>
      </c>
      <c r="I24" s="12" t="s">
        <v>38</v>
      </c>
      <c r="J24" s="12" t="s">
        <v>39</v>
      </c>
      <c r="K24" s="12" t="s">
        <v>40</v>
      </c>
      <c r="L24" s="12" t="s">
        <v>41</v>
      </c>
      <c r="M24" s="12" t="s">
        <v>42</v>
      </c>
      <c r="N24" s="12" t="s">
        <v>43</v>
      </c>
    </row>
    <row r="25" spans="2:14" x14ac:dyDescent="0.35">
      <c r="F25" s="10" t="s">
        <v>31</v>
      </c>
      <c r="G25" s="10">
        <v>3092.8834882593819</v>
      </c>
      <c r="H25" s="10">
        <v>200.17042185531341</v>
      </c>
      <c r="I25" s="10">
        <v>15.451251286740909</v>
      </c>
      <c r="J25" s="10">
        <v>2.7678804244337782E-9</v>
      </c>
      <c r="K25" s="10">
        <v>2656.7496050011237</v>
      </c>
      <c r="L25" s="10">
        <v>3529.0173715176402</v>
      </c>
      <c r="M25" s="10">
        <v>2656.7496050011237</v>
      </c>
      <c r="N25" s="10">
        <v>3529.0173715176402</v>
      </c>
    </row>
    <row r="26" spans="2:14" x14ac:dyDescent="0.35">
      <c r="F26" s="10" t="s">
        <v>2</v>
      </c>
      <c r="G26" s="10">
        <v>-142.54844931549295</v>
      </c>
      <c r="H26" s="10">
        <v>17.152811665802439</v>
      </c>
      <c r="I26" s="10">
        <v>-8.3105004644627325</v>
      </c>
      <c r="J26" s="10">
        <v>2.5406910656036856E-6</v>
      </c>
      <c r="K26" s="10">
        <v>-179.921215437809</v>
      </c>
      <c r="L26" s="10">
        <v>-105.17568319317689</v>
      </c>
      <c r="M26" s="10">
        <v>-179.921215437809</v>
      </c>
      <c r="N26" s="10">
        <v>-105.17568319317689</v>
      </c>
    </row>
    <row r="27" spans="2:14" ht="15" thickBot="1" x14ac:dyDescent="0.4">
      <c r="F27" s="11" t="s">
        <v>3</v>
      </c>
      <c r="G27" s="11">
        <v>0.10225716010894527</v>
      </c>
      <c r="H27" s="11">
        <v>3.6722961237723104E-2</v>
      </c>
      <c r="I27" s="11">
        <v>2.7845564916998895</v>
      </c>
      <c r="J27" s="11">
        <v>1.6510339122532174E-2</v>
      </c>
      <c r="K27" s="11">
        <v>2.224470102082185E-2</v>
      </c>
      <c r="L27" s="11">
        <v>0.18226961919706869</v>
      </c>
      <c r="M27" s="11">
        <v>2.224470102082185E-2</v>
      </c>
      <c r="N27" s="11">
        <v>0.18226961919706869</v>
      </c>
    </row>
    <row r="29" spans="2:14" ht="15.5" x14ac:dyDescent="0.35">
      <c r="B29" s="7" t="s">
        <v>13</v>
      </c>
    </row>
    <row r="30" spans="2:14" x14ac:dyDescent="0.35">
      <c r="B30" t="s">
        <v>8</v>
      </c>
    </row>
    <row r="31" spans="2:14" x14ac:dyDescent="0.35">
      <c r="B31" t="s">
        <v>9</v>
      </c>
      <c r="J31" t="s">
        <v>50</v>
      </c>
      <c r="K31">
        <f>8</f>
        <v>8</v>
      </c>
      <c r="M31" t="s">
        <v>2</v>
      </c>
      <c r="N31">
        <v>9.4444828691334894</v>
      </c>
    </row>
    <row r="32" spans="2:14" x14ac:dyDescent="0.35">
      <c r="B32" t="s">
        <v>10</v>
      </c>
      <c r="M32" t="s">
        <v>45</v>
      </c>
      <c r="N32">
        <v>10000</v>
      </c>
    </row>
    <row r="33" spans="2:15" x14ac:dyDescent="0.35">
      <c r="B33" t="s">
        <v>11</v>
      </c>
      <c r="M33" t="s">
        <v>51</v>
      </c>
      <c r="N33">
        <f>G26*N31+G27*N32+G25</f>
        <v>2769.1587017671181</v>
      </c>
      <c r="O33" t="s">
        <v>44</v>
      </c>
    </row>
    <row r="34" spans="2:15" x14ac:dyDescent="0.35">
      <c r="B34" t="s">
        <v>12</v>
      </c>
      <c r="M34" t="s">
        <v>52</v>
      </c>
      <c r="N34">
        <f>(N31-K31)*N33</f>
        <v>4000.0023066145354</v>
      </c>
      <c r="O34" t="s">
        <v>53</v>
      </c>
    </row>
    <row r="35" spans="2:15" x14ac:dyDescent="0.35">
      <c r="H35" s="8"/>
    </row>
    <row r="38" spans="2:15" x14ac:dyDescent="0.35">
      <c r="B38" t="s">
        <v>14</v>
      </c>
    </row>
    <row r="39" spans="2:15" x14ac:dyDescent="0.35">
      <c r="B39" t="s">
        <v>15</v>
      </c>
    </row>
    <row r="40" spans="2:15" x14ac:dyDescent="0.35">
      <c r="B40" t="s">
        <v>16</v>
      </c>
    </row>
    <row r="49" spans="2:2" x14ac:dyDescent="0.35">
      <c r="B49" t="s">
        <v>17</v>
      </c>
    </row>
    <row r="50" spans="2:2" x14ac:dyDescent="0.35">
      <c r="B50" t="s">
        <v>9</v>
      </c>
    </row>
    <row r="51" spans="2:2" x14ac:dyDescent="0.35">
      <c r="B51" t="s">
        <v>18</v>
      </c>
    </row>
    <row r="52" spans="2:2" x14ac:dyDescent="0.35">
      <c r="B52" t="s">
        <v>19</v>
      </c>
    </row>
  </sheetData>
  <mergeCells count="1"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Prediction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Dell-5490</dc:creator>
  <cp:lastModifiedBy>Rakshitha K V</cp:lastModifiedBy>
  <dcterms:created xsi:type="dcterms:W3CDTF">2023-03-07T13:39:19Z</dcterms:created>
  <dcterms:modified xsi:type="dcterms:W3CDTF">2026-03-07T07:02:08Z</dcterms:modified>
</cp:coreProperties>
</file>